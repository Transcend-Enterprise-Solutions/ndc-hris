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A6711C37-3818-4875-822A-33CEBBAF3C7C}" xr6:coauthVersionLast="47" xr6:coauthVersionMax="47" xr10:uidLastSave="{00000000-0000-0000-0000-000000000000}"/>
  <bookViews>
    <workbookView xWindow="-108" yWindow="-108" windowWidth="23256" windowHeight="12576" tabRatio="750" activeTab="3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Q16" i="16" s="1"/>
  <c r="R16" i="16" s="1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I46" i="16"/>
  <c r="I47" i="16"/>
  <c r="Q47" i="16" s="1"/>
  <c r="R47" i="16" s="1"/>
  <c r="I48" i="16"/>
  <c r="Q48" i="16" s="1"/>
  <c r="R48" i="16" s="1"/>
  <c r="I49" i="16"/>
  <c r="I50" i="16"/>
  <c r="I51" i="16"/>
  <c r="Q51" i="16" s="1"/>
  <c r="R51" i="16" s="1"/>
  <c r="I52" i="16"/>
  <c r="I53" i="16"/>
  <c r="I54" i="16"/>
  <c r="I55" i="16"/>
  <c r="Q55" i="16" s="1"/>
  <c r="R55" i="16" s="1"/>
  <c r="I56" i="16"/>
  <c r="I57" i="16"/>
  <c r="Q57" i="16" s="1"/>
  <c r="R57" i="16" s="1"/>
  <c r="I58" i="16"/>
  <c r="Q58" i="16" s="1"/>
  <c r="R58" i="16" s="1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50" i="16" l="1"/>
  <c r="R50" i="16" s="1"/>
  <c r="Q30" i="16"/>
  <c r="R30" i="16" s="1"/>
  <c r="Q56" i="16"/>
  <c r="R56" i="16" s="1"/>
  <c r="Q54" i="16"/>
  <c r="R54" i="16" s="1"/>
  <c r="Q53" i="16"/>
  <c r="R53" i="16" s="1"/>
  <c r="Q52" i="16"/>
  <c r="R52" i="16" s="1"/>
  <c r="Q49" i="16"/>
  <c r="R49" i="16" s="1"/>
  <c r="Q46" i="16"/>
  <c r="R46" i="16" s="1"/>
  <c r="Q45" i="16"/>
  <c r="R45" i="16" s="1"/>
  <c r="Q38" i="16"/>
  <c r="R38" i="16" s="1"/>
  <c r="Q42" i="16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<sst xmlns="http://schemas.openxmlformats.org/spreadsheetml/2006/main" count="889" uniqueCount="210">
  <si>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</si>
  <si>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</si>
  <si>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</si>
  <si>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</si>
  <si>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</si>
  <si>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</si>
  <si>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</si>
  <si>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</si>
  <si>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</si>
  <si>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</si>
  <si>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</si>
  <si>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</si>
  <si>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</si>
  <si>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</si>
  <si>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</si>
  <si>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</si>
  <si>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</si>
  <si>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</si>
  <si>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</si>
  <si>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</si>
  <si>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</si>
  <si>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</si>
  <si>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</si>
  <si>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</si>
  <si>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</si>
  <si>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</si>
  <si>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</si>
  <si>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</si>
  <si>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</si>
  <si>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</si>
  <si>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</si>
  <si>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</si>
  <si>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</si>
  <si>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</si>
  <si>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</si>
  <si>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</si>
  <si>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</si>
  <si>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</si>
  <si>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</si>
  <si>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</si>
  <si>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</si>
  <si>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</si>
  <si>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</si>
  <si>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</si>
  <si>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</si>
  <si>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</si>
  <si>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</si>
  <si>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</si>
  <si>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</si>
  <si>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</si>
  <si>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</si>
  <si>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</si>
  <si>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</si>
  <si>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</si>
  <si>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</si>
  <si>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</si>
  <si>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</si>
  <si>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</si>
  <si>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</si>
  <si>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</si>
  <si>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</si>
  <si>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</si>
  <si>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</si>
  <si>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</si>
  <si>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</si>
  <si>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</si>
  <si>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</si>
  <si>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</si>
  <si>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</si>
  <si>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</si>
  <si>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</si>
  <si>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</si>
  <si>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</si>
  <si>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</si>
  <si>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</si>
  <si>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</si>
  <si>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</si>
  <si>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</si>
  <si>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</si>
  <si>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</si>
  <si>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</si>
  <si>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</si>
  <si>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</si>
  <si>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</si>
  <si>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</si>
  <si>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</si>
  <si>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</si>
  <si>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</si>
  <si>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</si>
  <si>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</si>
  <si>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</si>
  <si>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</si>
  <si>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</si>
  <si>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</si>
  <si>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</si>
  <si>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</si>
  <si>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</si>
  <si>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</si>
  <si>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</si>
  <si>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</si>
  <si>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</si>
  <si>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</si>
  <si>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</si>
  <si>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</si>
  <si>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</si>
  <si>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</si>
  <si>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</si>
  <si>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</si>
  <si>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</si>
  <si>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</si>
  <si>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</si>
  <si>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</si>
  <si>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</si>
  <si>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</si>
  <si>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</si>
  <si>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</si>
  <si>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</si>
  <si>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</si>
  <si>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</si>
  <si>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</si>
  <si>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</si>
  <si>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</si>
  <si>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</si>
  <si>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24-QC13447</t>
  </si>
  <si>
    <t>ACOB, TRIXIE JUNIO</t>
  </si>
  <si>
    <t>24-QC12756</t>
  </si>
  <si>
    <t>ACOSTA, DANNMICHAEL DULLA</t>
  </si>
  <si>
    <t>24-QC12714</t>
  </si>
  <si>
    <t>AGUILAR, KIMBERLY ASHLEY CALUMPIT</t>
  </si>
  <si>
    <t>24-QC13807</t>
  </si>
  <si>
    <t>ARANDIA, JOHN PAUL TAGULAO</t>
  </si>
  <si>
    <t>24-QC13547</t>
  </si>
  <si>
    <t>AROCHA, NESHANEL</t>
  </si>
  <si>
    <t>24-QC13905</t>
  </si>
  <si>
    <t>ARRIOLA, GABRIEL PEHID</t>
  </si>
  <si>
    <t>23-QC03433</t>
  </si>
  <si>
    <t>AVILES, ANTONIO TITOY</t>
  </si>
  <si>
    <t>24-QC12867</t>
  </si>
  <si>
    <t>BASILIO, CHARLES PLURAL</t>
  </si>
  <si>
    <t>24-QC14612</t>
  </si>
  <si>
    <t>BRINGINO, RALPH REGOR</t>
  </si>
  <si>
    <t>24-QC13948</t>
  </si>
  <si>
    <t>CABRERA, CHARLES IAN</t>
  </si>
  <si>
    <t>24-QC14613</t>
  </si>
  <si>
    <t>24-QC12893</t>
  </si>
  <si>
    <t>CREMAN, DIESSA MAE ANGELES</t>
  </si>
  <si>
    <t>24-QC13705</t>
  </si>
  <si>
    <t>DAYRIT, KRIS ZILDJAN REI BANZON</t>
  </si>
  <si>
    <t>24-QC12852</t>
  </si>
  <si>
    <t>DE BELEN, JASHLEY ANN ADORA</t>
  </si>
  <si>
    <t>24-QC13048</t>
  </si>
  <si>
    <t>DEL PILAR, MARK JAYSON ESGUERRA</t>
  </si>
  <si>
    <t>24-QC13213</t>
  </si>
  <si>
    <t>ENGUAS, JEFFERSON ETONG</t>
  </si>
  <si>
    <t>24-QC13789</t>
  </si>
  <si>
    <t>ESTRADA, KENNETH ANDREI VINLUAN</t>
  </si>
  <si>
    <t>24-QC13643</t>
  </si>
  <si>
    <t>FRIANEZA, MITCH LORKAN TUTOP</t>
  </si>
  <si>
    <t>24-QC13741</t>
  </si>
  <si>
    <t>GAERLAN, AXEL LOPEZ</t>
  </si>
  <si>
    <t>24-QC12340</t>
  </si>
  <si>
    <t>GARCIA, JUSTIN CARBONQUILLO</t>
  </si>
  <si>
    <t>24-QC12193</t>
  </si>
  <si>
    <t>GROSPE, ARL JOHN GAMBOA</t>
  </si>
  <si>
    <t>24-QC13448</t>
  </si>
  <si>
    <t>JARINA, YUKI AUDREY DE GUZMAN</t>
  </si>
  <si>
    <t>24-QC14896</t>
  </si>
  <si>
    <t>JOAQUIN, JOHN NARRAH N/A</t>
  </si>
  <si>
    <t>24-QC12817</t>
  </si>
  <si>
    <t>LAGROSA, JARED JASPER BAYANI</t>
  </si>
  <si>
    <t>24-QC14194</t>
  </si>
  <si>
    <t>LIBATON, JASON BALBUENA</t>
  </si>
  <si>
    <t>24-QC12290</t>
  </si>
  <si>
    <t>MAGISTRADO, RADZ EMMAN ABRIS</t>
  </si>
  <si>
    <t>24-QC13638</t>
  </si>
  <si>
    <t>MAMACLAY, CHRISTIAN SUMAGAYSAY</t>
  </si>
  <si>
    <t>24-QC13903</t>
  </si>
  <si>
    <t>NAYON, JOHN CARL MACALACAD</t>
  </si>
  <si>
    <t>24-QC12413</t>
  </si>
  <si>
    <t>PACULANAN, MARK DANIEL AMBUYOC</t>
  </si>
  <si>
    <t>24-QC12733</t>
  </si>
  <si>
    <t>PALANGDAO, CRISTAN JOSS LIMOS</t>
  </si>
  <si>
    <t>24-QC13852</t>
  </si>
  <si>
    <t>PAULAR, BENEDICT JOHN GONZALES</t>
  </si>
  <si>
    <t>24-QC14065</t>
  </si>
  <si>
    <t>PEÑA, CEJAY CELLO</t>
  </si>
  <si>
    <t>24-QC12125</t>
  </si>
  <si>
    <t>PURISIMA, KRISHA ANN BUCO</t>
  </si>
  <si>
    <t>24-QC12818</t>
  </si>
  <si>
    <t>SESE, GERALDINO CARIÑO JR</t>
  </si>
  <si>
    <t>24-QC13100</t>
  </si>
  <si>
    <t>SUBIDA, THERESE ANGELI CASTRO</t>
  </si>
  <si>
    <t>24-QC13520</t>
  </si>
  <si>
    <t>TAN, CHRISJAN GABRIEL SAGARIO</t>
  </si>
  <si>
    <t>23-QC04979</t>
  </si>
  <si>
    <t>TULA, MALIC ANGCAS</t>
  </si>
  <si>
    <t>24-QC13844</t>
  </si>
  <si>
    <t>VALDERAMA, KEISHA ABIGAIL ARROYO</t>
  </si>
  <si>
    <t>24-QC14102</t>
  </si>
  <si>
    <t>VELASCO, KIM ANTONETTE LINDONG</t>
  </si>
  <si>
    <t>24-QC13208</t>
  </si>
  <si>
    <t>VERECIO, ANGEL FAITH CIANO</t>
  </si>
  <si>
    <t>24-QC13179</t>
  </si>
  <si>
    <t>VILLAMOR, CHELSEY ANNE</t>
  </si>
  <si>
    <t>24-QC13435</t>
  </si>
  <si>
    <t>YABUT, CARYSE AMARA UNTALAN</t>
  </si>
  <si>
    <t>L</t>
  </si>
  <si>
    <t>CASTILLO, LOUIS ANGELO CRAME</t>
  </si>
  <si>
    <t>24-QC13477</t>
  </si>
  <si>
    <t>CAMPOS, RYAN MIGUEL PACAYRA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</si>
</sst>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14" fillId="0" borderId="0" xfId="0" applyFont="1" applyProtection="1">
      <protection locked="0" hidden="1"/>
    </xf>
    <xf numFmtId="0" fontId="27" fillId="0" borderId="0" xfId="2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opLeftCell="A10" zoomScale="115" zoomScaleNormal="115" workbookViewId="0">
      <selection activeCell="B26" sqref="B26:C68"/>
    </sheetView>
  </sheetViews>
  <sheetFormatPr defaultColWidth="8.77734375" defaultRowHeight="13.8" x14ac:dyDescent="0.25"/>
  <cols>
    <col min="1" max="1" width="9.21875" style="7"/>
    <col min="2" max="2" width="27.77734375" style="1" customWidth="1"/>
    <col min="3" max="3" width="35.21875" style="1" customWidth="1"/>
    <col min="4" max="4" width="32.44140625" style="1" customWidth="1"/>
    <col min="5" max="5" width="42.33203125" style="1" customWidth="1"/>
    <col min="6" max="6" width="8.77734375" style="1"/>
    <col min="7" max="7" width="12.33203125" style="1" customWidth="1"/>
    <col min="8" max="8" width="15.33203125" style="1" customWidth="1"/>
    <col min="9" max="9" width="8.77734375" style="1"/>
    <col min="10" max="10" width="12.44140625" style="1" customWidth="1"/>
    <col min="11" max="16384" width="8.77734375" style="1"/>
  </cols>
  <sheetData>
    <row r="1" spans="1:12" x14ac:dyDescent="0.25">
      <c r="A1" s="69"/>
      <c r="B1" s="69"/>
      <c r="C1" s="69"/>
      <c r="F1" s="2"/>
      <c r="G1" s="2"/>
      <c r="H1" s="2"/>
      <c r="I1" s="2"/>
      <c r="J1" s="2"/>
      <c r="K1" s="2"/>
      <c r="L1" s="2"/>
    </row>
    <row r="2" spans="1:12" x14ac:dyDescent="0.25">
      <c r="A2" s="69"/>
      <c r="B2" s="69"/>
      <c r="C2" s="69"/>
      <c r="D2" s="70" t="s">
        <v>6</v>
      </c>
      <c r="E2" s="70"/>
      <c r="F2" s="2"/>
      <c r="G2" s="2"/>
      <c r="H2" s="2"/>
      <c r="I2" s="2"/>
      <c r="J2" s="2"/>
      <c r="K2" s="2"/>
      <c r="L2" s="2"/>
    </row>
    <row r="3" spans="1:12" ht="15" x14ac:dyDescent="0.25">
      <c r="A3" s="69"/>
      <c r="B3" s="69"/>
      <c r="C3" s="69"/>
      <c r="D3" s="70"/>
      <c r="E3" s="70"/>
      <c r="F3" s="2"/>
      <c r="G3" s="65" t="s">
        <v>13</v>
      </c>
      <c r="H3" s="65"/>
      <c r="I3" s="65"/>
      <c r="J3" s="65"/>
      <c r="K3" s="65"/>
      <c r="L3" s="2"/>
    </row>
    <row r="4" spans="1:12" ht="15" x14ac:dyDescent="0.25">
      <c r="A4" s="69"/>
      <c r="B4" s="69"/>
      <c r="C4" s="69"/>
      <c r="D4" s="66" t="s">
        <v>8</v>
      </c>
      <c r="E4" s="66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69"/>
      <c r="B5" s="69"/>
      <c r="C5" s="69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69"/>
      <c r="B6" s="69"/>
      <c r="C6" s="69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8" t="s">
        <v>0</v>
      </c>
      <c r="B7" s="68"/>
      <c r="C7" s="68"/>
      <c r="D7" s="68"/>
      <c r="E7" s="68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8"/>
      <c r="B8" s="68"/>
      <c r="C8" s="68"/>
      <c r="D8" s="68"/>
      <c r="E8" s="68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6" t="s">
        <v>7</v>
      </c>
      <c r="C16" s="66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4"/>
      <c r="G17" s="64"/>
      <c r="H17" s="64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7" t="s">
        <v>2</v>
      </c>
      <c r="B23" s="67"/>
      <c r="C23" s="67"/>
      <c r="D23" s="67"/>
      <c r="E23" s="67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3" t="s">
        <v>123</v>
      </c>
      <c r="C26" s="63" t="s">
        <v>124</v>
      </c>
      <c r="D26" s="24"/>
    </row>
    <row r="27" spans="1:8" ht="17.399999999999999" x14ac:dyDescent="0.35">
      <c r="A27" s="18">
        <f t="shared" si="1"/>
        <v>2</v>
      </c>
      <c r="B27" s="63" t="s">
        <v>125</v>
      </c>
      <c r="C27" s="63" t="s">
        <v>126</v>
      </c>
      <c r="D27" s="24"/>
    </row>
    <row r="28" spans="1:8" ht="17.399999999999999" x14ac:dyDescent="0.35">
      <c r="A28" s="18">
        <f t="shared" si="1"/>
        <v>3</v>
      </c>
      <c r="B28" s="63" t="s">
        <v>127</v>
      </c>
      <c r="C28" s="63" t="s">
        <v>128</v>
      </c>
      <c r="D28" s="24"/>
    </row>
    <row r="29" spans="1:8" ht="17.399999999999999" x14ac:dyDescent="0.35">
      <c r="A29" s="18">
        <f t="shared" si="1"/>
        <v>4</v>
      </c>
      <c r="B29" s="63" t="s">
        <v>129</v>
      </c>
      <c r="C29" s="63" t="s">
        <v>130</v>
      </c>
      <c r="D29" s="24"/>
    </row>
    <row r="30" spans="1:8" ht="17.399999999999999" x14ac:dyDescent="0.35">
      <c r="A30" s="18">
        <f t="shared" si="1"/>
        <v>5</v>
      </c>
      <c r="B30" s="63" t="s">
        <v>131</v>
      </c>
      <c r="C30" s="63" t="s">
        <v>132</v>
      </c>
      <c r="D30" s="24"/>
    </row>
    <row r="31" spans="1:8" ht="17.399999999999999" x14ac:dyDescent="0.35">
      <c r="A31" s="18">
        <f t="shared" si="1"/>
        <v>6</v>
      </c>
      <c r="B31" s="63" t="s">
        <v>133</v>
      </c>
      <c r="C31" s="63" t="s">
        <v>134</v>
      </c>
      <c r="D31" s="25"/>
    </row>
    <row r="32" spans="1:8" ht="17.399999999999999" x14ac:dyDescent="0.35">
      <c r="A32" s="18">
        <f t="shared" si="1"/>
        <v>7</v>
      </c>
      <c r="B32" s="63" t="s">
        <v>135</v>
      </c>
      <c r="C32" s="63" t="s">
        <v>136</v>
      </c>
      <c r="D32" s="25"/>
    </row>
    <row r="33" spans="1:4" ht="17.399999999999999" x14ac:dyDescent="0.35">
      <c r="A33" s="18">
        <f t="shared" si="1"/>
        <v>8</v>
      </c>
      <c r="B33" s="63" t="s">
        <v>137</v>
      </c>
      <c r="C33" s="63" t="s">
        <v>138</v>
      </c>
      <c r="D33" s="25"/>
    </row>
    <row r="34" spans="1:4" ht="17.399999999999999" x14ac:dyDescent="0.35">
      <c r="A34" s="18">
        <f t="shared" si="1"/>
        <v>9</v>
      </c>
      <c r="B34" s="63" t="s">
        <v>139</v>
      </c>
      <c r="C34" s="63" t="s">
        <v>140</v>
      </c>
      <c r="D34" s="25"/>
    </row>
    <row r="35" spans="1:4" ht="17.399999999999999" x14ac:dyDescent="0.35">
      <c r="A35" s="18">
        <f t="shared" si="1"/>
        <v>10</v>
      </c>
      <c r="B35" s="63" t="s">
        <v>141</v>
      </c>
      <c r="C35" s="63" t="s">
        <v>142</v>
      </c>
      <c r="D35" s="25"/>
    </row>
    <row r="36" spans="1:4" ht="17.399999999999999" x14ac:dyDescent="0.35">
      <c r="A36" s="18">
        <f t="shared" si="1"/>
        <v>11</v>
      </c>
      <c r="B36" s="63" t="s">
        <v>208</v>
      </c>
      <c r="C36" s="63" t="s">
        <v>209</v>
      </c>
      <c r="D36" s="25"/>
    </row>
    <row r="37" spans="1:4" ht="17.399999999999999" x14ac:dyDescent="0.35">
      <c r="A37" s="18">
        <f t="shared" si="1"/>
        <v>12</v>
      </c>
      <c r="B37" s="63" t="s">
        <v>143</v>
      </c>
      <c r="C37" s="63" t="s">
        <v>207</v>
      </c>
      <c r="D37" s="25"/>
    </row>
    <row r="38" spans="1:4" ht="17.399999999999999" x14ac:dyDescent="0.35">
      <c r="A38" s="18">
        <f t="shared" si="1"/>
        <v>13</v>
      </c>
      <c r="B38" s="63" t="s">
        <v>144</v>
      </c>
      <c r="C38" s="63" t="s">
        <v>145</v>
      </c>
      <c r="D38" s="25"/>
    </row>
    <row r="39" spans="1:4" ht="17.399999999999999" x14ac:dyDescent="0.35">
      <c r="A39" s="18">
        <f t="shared" si="1"/>
        <v>14</v>
      </c>
      <c r="B39" s="63" t="s">
        <v>146</v>
      </c>
      <c r="C39" s="63" t="s">
        <v>147</v>
      </c>
      <c r="D39" s="25"/>
    </row>
    <row r="40" spans="1:4" ht="17.399999999999999" x14ac:dyDescent="0.35">
      <c r="A40" s="18">
        <f t="shared" si="1"/>
        <v>15</v>
      </c>
      <c r="B40" s="63" t="s">
        <v>148</v>
      </c>
      <c r="C40" s="63" t="s">
        <v>149</v>
      </c>
      <c r="D40" s="25"/>
    </row>
    <row r="41" spans="1:4" ht="17.399999999999999" x14ac:dyDescent="0.35">
      <c r="A41" s="18">
        <f t="shared" si="1"/>
        <v>16</v>
      </c>
      <c r="B41" s="63" t="s">
        <v>150</v>
      </c>
      <c r="C41" s="63" t="s">
        <v>151</v>
      </c>
      <c r="D41" s="25"/>
    </row>
    <row r="42" spans="1:4" ht="17.399999999999999" x14ac:dyDescent="0.35">
      <c r="A42" s="18">
        <f t="shared" si="1"/>
        <v>17</v>
      </c>
      <c r="B42" s="63" t="s">
        <v>152</v>
      </c>
      <c r="C42" s="63" t="s">
        <v>153</v>
      </c>
      <c r="D42" s="25"/>
    </row>
    <row r="43" spans="1:4" ht="17.399999999999999" x14ac:dyDescent="0.35">
      <c r="A43" s="18">
        <f t="shared" si="1"/>
        <v>18</v>
      </c>
      <c r="B43" s="63" t="s">
        <v>154</v>
      </c>
      <c r="C43" s="63" t="s">
        <v>155</v>
      </c>
      <c r="D43" s="25"/>
    </row>
    <row r="44" spans="1:4" ht="17.399999999999999" x14ac:dyDescent="0.35">
      <c r="A44" s="18">
        <f t="shared" si="1"/>
        <v>19</v>
      </c>
      <c r="B44" s="63" t="s">
        <v>156</v>
      </c>
      <c r="C44" s="63" t="s">
        <v>157</v>
      </c>
      <c r="D44" s="25"/>
    </row>
    <row r="45" spans="1:4" ht="17.399999999999999" x14ac:dyDescent="0.35">
      <c r="A45" s="18">
        <f t="shared" si="1"/>
        <v>20</v>
      </c>
      <c r="B45" s="63" t="s">
        <v>158</v>
      </c>
      <c r="C45" s="63" t="s">
        <v>159</v>
      </c>
      <c r="D45" s="25"/>
    </row>
    <row r="46" spans="1:4" ht="17.399999999999999" x14ac:dyDescent="0.35">
      <c r="A46" s="18">
        <f t="shared" si="1"/>
        <v>21</v>
      </c>
      <c r="B46" s="63" t="s">
        <v>160</v>
      </c>
      <c r="C46" s="63" t="s">
        <v>161</v>
      </c>
      <c r="D46" s="25"/>
    </row>
    <row r="47" spans="1:4" ht="17.399999999999999" x14ac:dyDescent="0.35">
      <c r="A47" s="18">
        <f t="shared" si="1"/>
        <v>22</v>
      </c>
      <c r="B47" s="63" t="s">
        <v>162</v>
      </c>
      <c r="C47" s="63" t="s">
        <v>163</v>
      </c>
      <c r="D47" s="25"/>
    </row>
    <row r="48" spans="1:4" ht="17.399999999999999" x14ac:dyDescent="0.35">
      <c r="A48" s="18">
        <f t="shared" si="1"/>
        <v>23</v>
      </c>
      <c r="B48" s="63" t="s">
        <v>164</v>
      </c>
      <c r="C48" s="63" t="s">
        <v>165</v>
      </c>
      <c r="D48" s="25"/>
    </row>
    <row r="49" spans="1:4" ht="17.399999999999999" x14ac:dyDescent="0.35">
      <c r="A49" s="18">
        <f t="shared" si="1"/>
        <v>24</v>
      </c>
      <c r="B49" s="63" t="s">
        <v>166</v>
      </c>
      <c r="C49" s="63" t="s">
        <v>167</v>
      </c>
      <c r="D49" s="25"/>
    </row>
    <row r="50" spans="1:4" ht="17.399999999999999" x14ac:dyDescent="0.35">
      <c r="A50" s="18">
        <f t="shared" si="1"/>
        <v>25</v>
      </c>
      <c r="B50" s="63" t="s">
        <v>168</v>
      </c>
      <c r="C50" s="63" t="s">
        <v>169</v>
      </c>
      <c r="D50" s="25"/>
    </row>
    <row r="51" spans="1:4" ht="17.399999999999999" x14ac:dyDescent="0.35">
      <c r="A51" s="18">
        <f t="shared" si="1"/>
        <v>26</v>
      </c>
      <c r="B51" s="63" t="s">
        <v>170</v>
      </c>
      <c r="C51" s="63" t="s">
        <v>171</v>
      </c>
      <c r="D51" s="25"/>
    </row>
    <row r="52" spans="1:4" ht="17.399999999999999" x14ac:dyDescent="0.35">
      <c r="A52" s="18">
        <f t="shared" si="1"/>
        <v>27</v>
      </c>
      <c r="B52" s="63" t="s">
        <v>172</v>
      </c>
      <c r="C52" s="63" t="s">
        <v>173</v>
      </c>
      <c r="D52" s="25"/>
    </row>
    <row r="53" spans="1:4" ht="17.399999999999999" x14ac:dyDescent="0.35">
      <c r="A53" s="18">
        <f t="shared" si="1"/>
        <v>28</v>
      </c>
      <c r="B53" s="63" t="s">
        <v>174</v>
      </c>
      <c r="C53" s="63" t="s">
        <v>175</v>
      </c>
      <c r="D53" s="25"/>
    </row>
    <row r="54" spans="1:4" ht="17.399999999999999" x14ac:dyDescent="0.35">
      <c r="A54" s="18">
        <f t="shared" si="1"/>
        <v>29</v>
      </c>
      <c r="B54" s="63" t="s">
        <v>176</v>
      </c>
      <c r="C54" s="63" t="s">
        <v>177</v>
      </c>
      <c r="D54" s="25"/>
    </row>
    <row r="55" spans="1:4" ht="17.399999999999999" x14ac:dyDescent="0.35">
      <c r="A55" s="18">
        <f t="shared" si="1"/>
        <v>30</v>
      </c>
      <c r="B55" s="63" t="s">
        <v>178</v>
      </c>
      <c r="C55" s="63" t="s">
        <v>179</v>
      </c>
      <c r="D55" s="25"/>
    </row>
    <row r="56" spans="1:4" ht="17.399999999999999" x14ac:dyDescent="0.35">
      <c r="A56" s="18">
        <f t="shared" si="1"/>
        <v>31</v>
      </c>
      <c r="B56" s="63" t="s">
        <v>180</v>
      </c>
      <c r="C56" s="63" t="s">
        <v>181</v>
      </c>
      <c r="D56" s="25"/>
    </row>
    <row r="57" spans="1:4" ht="17.399999999999999" x14ac:dyDescent="0.35">
      <c r="A57" s="18">
        <f t="shared" si="1"/>
        <v>32</v>
      </c>
      <c r="B57" s="63" t="s">
        <v>182</v>
      </c>
      <c r="C57" s="63" t="s">
        <v>183</v>
      </c>
      <c r="D57" s="25"/>
    </row>
    <row r="58" spans="1:4" ht="17.399999999999999" x14ac:dyDescent="0.35">
      <c r="A58" s="18">
        <f t="shared" si="1"/>
        <v>33</v>
      </c>
      <c r="B58" s="63" t="s">
        <v>184</v>
      </c>
      <c r="C58" s="63" t="s">
        <v>185</v>
      </c>
      <c r="D58" s="25"/>
    </row>
    <row r="59" spans="1:4" ht="17.399999999999999" x14ac:dyDescent="0.35">
      <c r="A59" s="18">
        <f t="shared" si="1"/>
        <v>34</v>
      </c>
      <c r="B59" s="63" t="s">
        <v>186</v>
      </c>
      <c r="C59" s="63" t="s">
        <v>187</v>
      </c>
      <c r="D59" s="25"/>
    </row>
    <row r="60" spans="1:4" ht="17.399999999999999" x14ac:dyDescent="0.35">
      <c r="A60" s="18">
        <f t="shared" si="1"/>
        <v>35</v>
      </c>
      <c r="B60" s="63" t="s">
        <v>188</v>
      </c>
      <c r="C60" s="63" t="s">
        <v>189</v>
      </c>
      <c r="D60" s="25"/>
    </row>
    <row r="61" spans="1:4" ht="17.399999999999999" x14ac:dyDescent="0.35">
      <c r="A61" s="18">
        <f t="shared" si="1"/>
        <v>36</v>
      </c>
      <c r="B61" s="63" t="s">
        <v>190</v>
      </c>
      <c r="C61" s="63" t="s">
        <v>191</v>
      </c>
      <c r="D61" s="25"/>
    </row>
    <row r="62" spans="1:4" ht="17.399999999999999" x14ac:dyDescent="0.35">
      <c r="A62" s="18">
        <f t="shared" si="1"/>
        <v>37</v>
      </c>
      <c r="B62" s="63" t="s">
        <v>192</v>
      </c>
      <c r="C62" s="63" t="s">
        <v>193</v>
      </c>
      <c r="D62" s="25"/>
    </row>
    <row r="63" spans="1:4" ht="17.399999999999999" x14ac:dyDescent="0.35">
      <c r="A63" s="18">
        <f t="shared" si="1"/>
        <v>38</v>
      </c>
      <c r="B63" s="63" t="s">
        <v>194</v>
      </c>
      <c r="C63" s="63" t="s">
        <v>195</v>
      </c>
      <c r="D63" s="25"/>
    </row>
    <row r="64" spans="1:4" ht="17.399999999999999" x14ac:dyDescent="0.35">
      <c r="A64" s="18">
        <f t="shared" si="1"/>
        <v>39</v>
      </c>
      <c r="B64" s="63" t="s">
        <v>196</v>
      </c>
      <c r="C64" s="63" t="s">
        <v>197</v>
      </c>
      <c r="D64" s="25"/>
    </row>
    <row r="65" spans="1:4" ht="17.399999999999999" x14ac:dyDescent="0.35">
      <c r="A65" s="18">
        <f t="shared" si="1"/>
        <v>40</v>
      </c>
      <c r="B65" s="63" t="s">
        <v>198</v>
      </c>
      <c r="C65" s="63" t="s">
        <v>199</v>
      </c>
      <c r="D65" s="25"/>
    </row>
    <row r="66" spans="1:4" ht="17.399999999999999" x14ac:dyDescent="0.35">
      <c r="A66" s="18">
        <f t="shared" si="1"/>
        <v>41</v>
      </c>
      <c r="B66" s="63" t="s">
        <v>200</v>
      </c>
      <c r="C66" s="63" t="s">
        <v>201</v>
      </c>
      <c r="D66" s="25"/>
    </row>
    <row r="67" spans="1:4" ht="17.399999999999999" x14ac:dyDescent="0.35">
      <c r="A67" s="18">
        <f t="shared" si="1"/>
        <v>42</v>
      </c>
      <c r="B67" s="63" t="s">
        <v>202</v>
      </c>
      <c r="C67" s="63" t="s">
        <v>203</v>
      </c>
      <c r="D67" s="25"/>
    </row>
    <row r="68" spans="1:4" ht="17.399999999999999" x14ac:dyDescent="0.35">
      <c r="A68" s="18">
        <f t="shared" si="1"/>
        <v>43</v>
      </c>
      <c r="B68" s="63" t="s">
        <v>204</v>
      </c>
      <c r="C68" s="63" t="s">
        <v>205</v>
      </c>
      <c r="D68" s="25"/>
    </row>
    <row r="69" spans="1:4" ht="14.4" x14ac:dyDescent="0.3">
      <c r="A69" s="18">
        <f t="shared" si="1"/>
        <v>44</v>
      </c>
      <c r="B69" s="24"/>
      <c r="C69" s="24"/>
      <c r="D69" s="25"/>
    </row>
    <row r="70" spans="1:4" ht="14.4" x14ac:dyDescent="0.3">
      <c r="A70" s="18">
        <f t="shared" si="1"/>
        <v>45</v>
      </c>
      <c r="B70" s="24"/>
      <c r="C70" s="24"/>
      <c r="D70" s="25"/>
    </row>
    <row r="71" spans="1:4" ht="14.4" x14ac:dyDescent="0.3">
      <c r="A71" s="18">
        <f t="shared" si="1"/>
        <v>46</v>
      </c>
      <c r="B71" s="24"/>
      <c r="C71" s="24"/>
      <c r="D71" s="25"/>
    </row>
    <row r="72" spans="1:4" ht="14.4" x14ac:dyDescent="0.3">
      <c r="A72" s="18">
        <f t="shared" si="1"/>
        <v>47</v>
      </c>
      <c r="B72" s="24"/>
      <c r="C72" s="24"/>
      <c r="D72" s="25"/>
    </row>
    <row r="73" spans="1:4" ht="14.4" x14ac:dyDescent="0.3">
      <c r="A73" s="18">
        <f t="shared" si="1"/>
        <v>48</v>
      </c>
      <c r="B73" s="24"/>
      <c r="C73" s="24"/>
      <c r="D73" s="25"/>
    </row>
    <row r="74" spans="1:4" ht="14.4" x14ac:dyDescent="0.3">
      <c r="A74" s="18">
        <f t="shared" si="1"/>
        <v>49</v>
      </c>
      <c r="B74" s="24"/>
      <c r="C74" s="24"/>
      <c r="D74" s="25"/>
    </row>
    <row r="75" spans="1:4" ht="14.4" x14ac:dyDescent="0.3">
      <c r="A75" s="18">
        <f t="shared" si="1"/>
        <v>50</v>
      </c>
      <c r="B75" s="24"/>
      <c r="C75" s="24"/>
      <c r="D75" s="25"/>
    </row>
    <row r="76" spans="1:4" ht="14.4" x14ac:dyDescent="0.3">
      <c r="A76" s="18">
        <f t="shared" si="1"/>
        <v>51</v>
      </c>
      <c r="B76" s="24"/>
      <c r="C76" s="24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view="pageBreakPreview" topLeftCell="A32" zoomScale="145" zoomScaleNormal="145" zoomScaleSheetLayoutView="145" workbookViewId="0">
      <selection activeCell="C19" sqref="C19:P19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</row>
    <row r="14" spans="1:19" x14ac:dyDescent="0.3">
      <c r="A14" s="40">
        <v>1</v>
      </c>
      <c r="B14" s="41" t="str">
        <f>'DATA ENTRY'!B26</f>
        <v>24-QC13447</v>
      </c>
      <c r="C14" s="42" t="str">
        <f>'DATA ENTRY'!C26</f>
        <v>ACOB, TRIXIE JUNIO</v>
      </c>
      <c r="D14" s="43">
        <v>97</v>
      </c>
      <c r="E14" s="43">
        <v>90</v>
      </c>
      <c r="F14" s="43">
        <v>85</v>
      </c>
      <c r="G14" s="43"/>
      <c r="H14" s="43"/>
      <c r="I14" s="44">
        <f>IFERROR(AVERAGE(D14:H14),"0")</f>
        <v>90.666666666666671</v>
      </c>
      <c r="J14" s="43" t="s">
        <v>121</v>
      </c>
      <c r="K14" s="43" t="s">
        <v>121</v>
      </c>
      <c r="L14" s="43" t="s">
        <v>121</v>
      </c>
      <c r="M14" s="43">
        <v>94</v>
      </c>
      <c r="N14" s="43"/>
      <c r="O14" s="44">
        <f>IFERROR(AVERAGE(J14:N14),"0")</f>
        <v>94</v>
      </c>
      <c r="P14" s="43">
        <v>94</v>
      </c>
      <c r="Q14" s="45">
        <f>SUM(I14,O14,P14)/3</f>
        <v>92.8888888888889</v>
      </c>
      <c r="R14" s="40">
        <f>VLOOKUP(Q14,TGQC!$X$1:$Y$990,2)</f>
        <v>1.5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24-QC12756</v>
      </c>
      <c r="C15" s="42" t="str">
        <f>'DATA ENTRY'!C27</f>
        <v>ACOSTA, DANNMICHAEL DULLA</v>
      </c>
      <c r="D15" s="43">
        <v>85</v>
      </c>
      <c r="E15" s="43">
        <v>93</v>
      </c>
      <c r="F15" s="43">
        <v>100</v>
      </c>
      <c r="G15" s="43"/>
      <c r="H15" s="43"/>
      <c r="I15" s="44">
        <f t="shared" ref="I15:I78" si="0">IFERROR(AVERAGE(D15:H15),"0")</f>
        <v>92.666666666666671</v>
      </c>
      <c r="J15" s="43" t="s">
        <v>122</v>
      </c>
      <c r="K15" s="43" t="s">
        <v>121</v>
      </c>
      <c r="L15" s="43" t="s">
        <v>122</v>
      </c>
      <c r="M15" s="43">
        <v>90</v>
      </c>
      <c r="N15" s="43"/>
      <c r="O15" s="44">
        <f t="shared" ref="O15:O78" si="1">IFERROR(AVERAGE(J15:N15),"0")</f>
        <v>90</v>
      </c>
      <c r="P15" s="43">
        <v>90</v>
      </c>
      <c r="Q15" s="45">
        <f t="shared" ref="Q15:Q78" si="2">SUM(I15,O15,P15)/3</f>
        <v>90.8888888888889</v>
      </c>
      <c r="R15" s="40">
        <f>VLOOKUP(Q15,TGQC!$X$1:$Y$990,2)</f>
        <v>1.75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24-QC12714</v>
      </c>
      <c r="C16" s="42" t="str">
        <f>'DATA ENTRY'!C28</f>
        <v>AGUILAR, KIMBERLY ASHLEY CALUMPIT</v>
      </c>
      <c r="D16" s="43">
        <v>97</v>
      </c>
      <c r="E16" s="43">
        <v>100</v>
      </c>
      <c r="F16" s="43">
        <v>85</v>
      </c>
      <c r="G16" s="43"/>
      <c r="H16" s="43"/>
      <c r="I16" s="44">
        <f t="shared" si="0"/>
        <v>94</v>
      </c>
      <c r="J16" s="43" t="s">
        <v>121</v>
      </c>
      <c r="K16" s="43" t="s">
        <v>121</v>
      </c>
      <c r="L16" s="43" t="s">
        <v>121</v>
      </c>
      <c r="M16" s="43">
        <v>100</v>
      </c>
      <c r="N16" s="43"/>
      <c r="O16" s="44">
        <f t="shared" si="1"/>
        <v>100</v>
      </c>
      <c r="P16" s="43">
        <v>100</v>
      </c>
      <c r="Q16" s="45">
        <f t="shared" si="2"/>
        <v>98</v>
      </c>
      <c r="R16" s="40">
        <f>VLOOKUP(Q16,TGQC!$X$1:$Y$990,2)</f>
        <v>1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24-QC13807</v>
      </c>
      <c r="C17" s="42" t="str">
        <f>'DATA ENTRY'!C29</f>
        <v>ARANDIA, JOHN PAUL TAGULAO</v>
      </c>
      <c r="D17" s="43">
        <v>92</v>
      </c>
      <c r="E17" s="43">
        <v>90</v>
      </c>
      <c r="F17" s="43">
        <v>85</v>
      </c>
      <c r="G17" s="43"/>
      <c r="H17" s="43"/>
      <c r="I17" s="44">
        <f t="shared" si="0"/>
        <v>89</v>
      </c>
      <c r="J17" s="43" t="s">
        <v>121</v>
      </c>
      <c r="K17" s="43" t="s">
        <v>121</v>
      </c>
      <c r="L17" s="43" t="s">
        <v>121</v>
      </c>
      <c r="M17" s="43">
        <v>94</v>
      </c>
      <c r="N17" s="43"/>
      <c r="O17" s="44">
        <f t="shared" si="1"/>
        <v>94</v>
      </c>
      <c r="P17" s="43">
        <v>94</v>
      </c>
      <c r="Q17" s="45">
        <f t="shared" si="2"/>
        <v>92.333333333333329</v>
      </c>
      <c r="R17" s="40">
        <f>VLOOKUP(Q17,TGQC!$X$1:$Y$990,2)</f>
        <v>1.5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24-QC13547</v>
      </c>
      <c r="C18" s="42" t="str">
        <f>'DATA ENTRY'!C30</f>
        <v>AROCHA, NESHANEL</v>
      </c>
      <c r="D18" s="43">
        <v>85</v>
      </c>
      <c r="E18" s="43">
        <v>90</v>
      </c>
      <c r="F18" s="43">
        <v>85</v>
      </c>
      <c r="G18" s="43"/>
      <c r="H18" s="43"/>
      <c r="I18" s="44">
        <f t="shared" si="0"/>
        <v>86.666666666666671</v>
      </c>
      <c r="J18" s="43" t="s">
        <v>121</v>
      </c>
      <c r="K18" s="43" t="s">
        <v>121</v>
      </c>
      <c r="L18" s="43" t="s">
        <v>121</v>
      </c>
      <c r="M18" s="43">
        <v>75</v>
      </c>
      <c r="N18" s="43"/>
      <c r="O18" s="44">
        <f t="shared" si="1"/>
        <v>75</v>
      </c>
      <c r="P18" s="43">
        <v>75</v>
      </c>
      <c r="Q18" s="45">
        <f t="shared" si="2"/>
        <v>78.8888888888889</v>
      </c>
      <c r="R18" s="40">
        <f>VLOOKUP(Q18,TGQC!$X$1:$Y$990,2)</f>
        <v>2.75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24-QC13905</v>
      </c>
      <c r="C19" s="42" t="str">
        <f>'DATA ENTRY'!C31</f>
        <v>ARRIOLA, GABRIEL PEHID</v>
      </c>
      <c r="D19" s="43">
        <v>92</v>
      </c>
      <c r="E19" s="43">
        <v>93</v>
      </c>
      <c r="F19" s="43">
        <v>92</v>
      </c>
      <c r="G19" s="43"/>
      <c r="H19" s="43"/>
      <c r="I19" s="44">
        <f t="shared" si="0"/>
        <v>92.333333333333329</v>
      </c>
      <c r="J19" s="43" t="s">
        <v>121</v>
      </c>
      <c r="K19" s="43" t="s">
        <v>121</v>
      </c>
      <c r="L19" s="43" t="s">
        <v>206</v>
      </c>
      <c r="M19" s="43">
        <v>80</v>
      </c>
      <c r="N19" s="43"/>
      <c r="O19" s="44">
        <f t="shared" si="1"/>
        <v>80</v>
      </c>
      <c r="P19" s="43">
        <v>80</v>
      </c>
      <c r="Q19" s="45">
        <f t="shared" si="2"/>
        <v>84.1111111111111</v>
      </c>
      <c r="R19" s="40">
        <f>VLOOKUP(Q19,TGQC!$X$1:$Y$990,2)</f>
        <v>2.25</v>
      </c>
      <c r="S19" s="40" t="str">
        <f>VLOOKUP(R19,TGQC!$H$1:$I$16,2,0)</f>
        <v>Passed</v>
      </c>
    </row>
    <row r="20" spans="1:19" x14ac:dyDescent="0.3">
      <c r="A20" s="40">
        <v>7</v>
      </c>
      <c r="B20" s="41" t="str">
        <f>'DATA ENTRY'!B32</f>
        <v>23-QC03433</v>
      </c>
      <c r="C20" s="42" t="str">
        <f>'DATA ENTRY'!C32</f>
        <v>AVILES, ANTONIO TITOY</v>
      </c>
      <c r="D20" s="43">
        <v>94</v>
      </c>
      <c r="E20" s="43">
        <v>93</v>
      </c>
      <c r="F20" s="43">
        <v>70</v>
      </c>
      <c r="G20" s="43"/>
      <c r="H20" s="43"/>
      <c r="I20" s="44">
        <f t="shared" si="0"/>
        <v>85.666666666666671</v>
      </c>
      <c r="J20" s="43" t="s">
        <v>121</v>
      </c>
      <c r="K20" s="43" t="s">
        <v>121</v>
      </c>
      <c r="L20" s="43" t="s">
        <v>122</v>
      </c>
      <c r="M20" s="43">
        <v>90</v>
      </c>
      <c r="N20" s="43"/>
      <c r="O20" s="44">
        <f t="shared" si="1"/>
        <v>90</v>
      </c>
      <c r="P20" s="43">
        <v>90</v>
      </c>
      <c r="Q20" s="45">
        <f t="shared" si="2"/>
        <v>88.555555555555557</v>
      </c>
      <c r="R20" s="40">
        <f>VLOOKUP(Q20,TGQC!$X$1:$Y$990,2)</f>
        <v>1.75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24-QC12867</v>
      </c>
      <c r="C21" s="42" t="str">
        <f>'DATA ENTRY'!C33</f>
        <v>BASILIO, CHARLES PLURAL</v>
      </c>
      <c r="D21" s="43">
        <v>97</v>
      </c>
      <c r="E21" s="43">
        <v>100</v>
      </c>
      <c r="F21" s="43">
        <v>85</v>
      </c>
      <c r="G21" s="43"/>
      <c r="H21" s="43"/>
      <c r="I21" s="44">
        <f t="shared" si="0"/>
        <v>94</v>
      </c>
      <c r="J21" s="43" t="s">
        <v>121</v>
      </c>
      <c r="K21" s="43" t="s">
        <v>121</v>
      </c>
      <c r="L21" s="43" t="s">
        <v>121</v>
      </c>
      <c r="M21" s="43">
        <v>99</v>
      </c>
      <c r="N21" s="43"/>
      <c r="O21" s="44">
        <f t="shared" si="1"/>
        <v>99</v>
      </c>
      <c r="P21" s="43">
        <v>99</v>
      </c>
      <c r="Q21" s="45">
        <f t="shared" si="2"/>
        <v>97.333333333333329</v>
      </c>
      <c r="R21" s="40">
        <f>VLOOKUP(Q21,TGQC!$X$1:$Y$990,2)</f>
        <v>1.25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24-QC14612</v>
      </c>
      <c r="C22" s="42" t="str">
        <f>'DATA ENTRY'!C34</f>
        <v>BRINGINO, RALPH REGOR</v>
      </c>
      <c r="D22" s="43">
        <v>70</v>
      </c>
      <c r="E22" s="43">
        <v>90</v>
      </c>
      <c r="F22" s="43">
        <v>70</v>
      </c>
      <c r="G22" s="43"/>
      <c r="H22" s="43"/>
      <c r="I22" s="44">
        <f t="shared" si="0"/>
        <v>76.666666666666671</v>
      </c>
      <c r="J22" s="43" t="s">
        <v>122</v>
      </c>
      <c r="K22" s="43" t="s">
        <v>121</v>
      </c>
      <c r="L22" s="43" t="s">
        <v>122</v>
      </c>
      <c r="M22" s="43">
        <v>90</v>
      </c>
      <c r="N22" s="43"/>
      <c r="O22" s="44">
        <f t="shared" si="1"/>
        <v>90</v>
      </c>
      <c r="P22" s="43">
        <v>90</v>
      </c>
      <c r="Q22" s="45">
        <f t="shared" si="2"/>
        <v>85.555555555555557</v>
      </c>
      <c r="R22" s="40">
        <f>VLOOKUP(Q22,TGQC!$X$1:$Y$990,2)</f>
        <v>2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24-QC13948</v>
      </c>
      <c r="C23" s="42" t="str">
        <f>'DATA ENTRY'!C35</f>
        <v>CABRERA, CHARLES IAN</v>
      </c>
      <c r="D23" s="43">
        <v>85</v>
      </c>
      <c r="E23" s="43">
        <v>95</v>
      </c>
      <c r="F23" s="43">
        <v>100</v>
      </c>
      <c r="G23" s="43"/>
      <c r="H23" s="43"/>
      <c r="I23" s="44">
        <f t="shared" si="0"/>
        <v>93.333333333333329</v>
      </c>
      <c r="J23" s="43" t="s">
        <v>121</v>
      </c>
      <c r="K23" s="43" t="s">
        <v>121</v>
      </c>
      <c r="L23" s="43" t="s">
        <v>121</v>
      </c>
      <c r="M23" s="43">
        <v>94</v>
      </c>
      <c r="N23" s="43"/>
      <c r="O23" s="44">
        <f t="shared" si="1"/>
        <v>94</v>
      </c>
      <c r="P23" s="43">
        <v>94</v>
      </c>
      <c r="Q23" s="45">
        <f t="shared" si="2"/>
        <v>93.777777777777771</v>
      </c>
      <c r="R23" s="40">
        <f>VLOOKUP(Q23,TGQC!$X$1:$Y$990,2)</f>
        <v>1.5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24-QC13477</v>
      </c>
      <c r="C24" s="42" t="str">
        <f>'DATA ENTRY'!C36</f>
        <v>CAMPOS, RYAN MIGUEL PACAYRA</v>
      </c>
      <c r="D24" s="43">
        <v>95</v>
      </c>
      <c r="E24" s="43">
        <v>90</v>
      </c>
      <c r="F24" s="43">
        <v>85</v>
      </c>
      <c r="G24" s="43"/>
      <c r="H24" s="43"/>
      <c r="I24" s="44">
        <f t="shared" si="0"/>
        <v>90</v>
      </c>
      <c r="J24" s="43" t="s">
        <v>121</v>
      </c>
      <c r="K24" s="43" t="s">
        <v>121</v>
      </c>
      <c r="L24" s="43" t="s">
        <v>121</v>
      </c>
      <c r="M24" s="43">
        <v>90</v>
      </c>
      <c r="N24" s="43"/>
      <c r="O24" s="44">
        <f t="shared" si="1"/>
        <v>90</v>
      </c>
      <c r="P24" s="43">
        <v>90</v>
      </c>
      <c r="Q24" s="45">
        <f t="shared" si="2"/>
        <v>90</v>
      </c>
      <c r="R24" s="40">
        <f>VLOOKUP(Q24,TGQC!$X$1:$Y$990,2)</f>
        <v>1.75</v>
      </c>
      <c r="S24" s="40" t="str">
        <f>VLOOKUP(R24,TGQC!$H$1:$I$16,2,0)</f>
        <v>Passed</v>
      </c>
    </row>
    <row r="25" spans="1:19" x14ac:dyDescent="0.3">
      <c r="A25" s="40">
        <v>12</v>
      </c>
      <c r="B25" s="41" t="str">
        <f>'DATA ENTRY'!B37</f>
        <v>24-QC14613</v>
      </c>
      <c r="C25" s="42" t="str">
        <f>'DATA ENTRY'!C37</f>
        <v>CASTILLO, LOUIS ANGELO CRAME</v>
      </c>
      <c r="D25" s="43">
        <v>95</v>
      </c>
      <c r="E25" s="43">
        <v>90</v>
      </c>
      <c r="F25" s="43">
        <v>85</v>
      </c>
      <c r="G25" s="43"/>
      <c r="H25" s="43"/>
      <c r="I25" s="44">
        <f t="shared" si="0"/>
        <v>90</v>
      </c>
      <c r="J25" s="43" t="s">
        <v>121</v>
      </c>
      <c r="K25" s="43" t="s">
        <v>121</v>
      </c>
      <c r="L25" s="43" t="s">
        <v>121</v>
      </c>
      <c r="M25" s="43">
        <v>98</v>
      </c>
      <c r="N25" s="43"/>
      <c r="O25" s="44">
        <f t="shared" si="1"/>
        <v>98</v>
      </c>
      <c r="P25" s="43">
        <v>98</v>
      </c>
      <c r="Q25" s="45">
        <f t="shared" si="2"/>
        <v>95.333333333333329</v>
      </c>
      <c r="R25" s="40">
        <f>VLOOKUP(Q25,TGQC!$X$1:$Y$990,2)</f>
        <v>1.25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24-QC12893</v>
      </c>
      <c r="C26" s="42" t="str">
        <f>'DATA ENTRY'!C38</f>
        <v>CREMAN, DIESSA MAE ANGELES</v>
      </c>
      <c r="D26" s="43">
        <v>85</v>
      </c>
      <c r="E26" s="43">
        <v>94</v>
      </c>
      <c r="F26" s="43">
        <v>70</v>
      </c>
      <c r="G26" s="43"/>
      <c r="H26" s="43"/>
      <c r="I26" s="44">
        <f t="shared" si="0"/>
        <v>83</v>
      </c>
      <c r="J26" s="43" t="s">
        <v>121</v>
      </c>
      <c r="K26" s="43" t="s">
        <v>121</v>
      </c>
      <c r="L26" s="43" t="s">
        <v>122</v>
      </c>
      <c r="M26" s="43">
        <v>80</v>
      </c>
      <c r="N26" s="43"/>
      <c r="O26" s="44">
        <f t="shared" si="1"/>
        <v>80</v>
      </c>
      <c r="P26" s="43">
        <v>80</v>
      </c>
      <c r="Q26" s="45">
        <f t="shared" si="2"/>
        <v>81</v>
      </c>
      <c r="R26" s="40">
        <f>VLOOKUP(Q26,TGQC!$X$1:$Y$990,2)</f>
        <v>2.5</v>
      </c>
      <c r="S26" s="40" t="str">
        <f>VLOOKUP(R26,TGQC!$H$1:$I$16,2,0)</f>
        <v>Passed</v>
      </c>
    </row>
    <row r="27" spans="1:19" x14ac:dyDescent="0.3">
      <c r="A27" s="40">
        <v>14</v>
      </c>
      <c r="B27" s="41" t="str">
        <f>'DATA ENTRY'!B39</f>
        <v>24-QC13705</v>
      </c>
      <c r="C27" s="42" t="str">
        <f>'DATA ENTRY'!C39</f>
        <v>DAYRIT, KRIS ZILDJAN REI BANZON</v>
      </c>
      <c r="D27" s="43">
        <v>94</v>
      </c>
      <c r="E27" s="43">
        <v>88</v>
      </c>
      <c r="F27" s="43">
        <v>92</v>
      </c>
      <c r="G27" s="43"/>
      <c r="H27" s="43"/>
      <c r="I27" s="44">
        <f t="shared" si="0"/>
        <v>91.333333333333329</v>
      </c>
      <c r="J27" s="43" t="s">
        <v>121</v>
      </c>
      <c r="K27" s="43" t="s">
        <v>121</v>
      </c>
      <c r="L27" s="43" t="s">
        <v>121</v>
      </c>
      <c r="M27" s="43">
        <v>90</v>
      </c>
      <c r="N27" s="43"/>
      <c r="O27" s="44">
        <f t="shared" si="1"/>
        <v>90</v>
      </c>
      <c r="P27" s="43">
        <v>90</v>
      </c>
      <c r="Q27" s="45">
        <f t="shared" si="2"/>
        <v>90.444444444444443</v>
      </c>
      <c r="R27" s="40">
        <f>VLOOKUP(Q27,TGQC!$X$1:$Y$990,2)</f>
        <v>1.75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24-QC12852</v>
      </c>
      <c r="C28" s="42" t="str">
        <f>'DATA ENTRY'!C40</f>
        <v>DE BELEN, JASHLEY ANN ADORA</v>
      </c>
      <c r="D28" s="43">
        <v>94</v>
      </c>
      <c r="E28" s="43">
        <v>88</v>
      </c>
      <c r="F28" s="43">
        <v>100</v>
      </c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 t="s">
        <v>121</v>
      </c>
      <c r="M28" s="43">
        <v>100</v>
      </c>
      <c r="N28" s="43"/>
      <c r="O28" s="44">
        <f t="shared" si="1"/>
        <v>100</v>
      </c>
      <c r="P28" s="43">
        <v>100</v>
      </c>
      <c r="Q28" s="45">
        <f t="shared" si="2"/>
        <v>98</v>
      </c>
      <c r="R28" s="40">
        <f>VLOOKUP(Q28,TGQC!$X$1:$Y$990,2)</f>
        <v>1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24-QC13048</v>
      </c>
      <c r="C29" s="42" t="str">
        <f>'DATA ENTRY'!C41</f>
        <v>DEL PILAR, MARK JAYSON ESGUERRA</v>
      </c>
      <c r="D29" s="43">
        <v>85</v>
      </c>
      <c r="E29" s="43">
        <v>93</v>
      </c>
      <c r="F29" s="43">
        <v>85</v>
      </c>
      <c r="G29" s="43"/>
      <c r="H29" s="43"/>
      <c r="I29" s="44">
        <f t="shared" si="0"/>
        <v>87.666666666666671</v>
      </c>
      <c r="J29" s="43" t="s">
        <v>121</v>
      </c>
      <c r="K29" s="43" t="s">
        <v>121</v>
      </c>
      <c r="L29" s="43" t="s">
        <v>121</v>
      </c>
      <c r="M29" s="43">
        <v>90</v>
      </c>
      <c r="N29" s="43"/>
      <c r="O29" s="44">
        <f t="shared" si="1"/>
        <v>90</v>
      </c>
      <c r="P29" s="43">
        <v>90</v>
      </c>
      <c r="Q29" s="45">
        <f t="shared" si="2"/>
        <v>89.222222222222229</v>
      </c>
      <c r="R29" s="40">
        <f>VLOOKUP(Q29,TGQC!$X$1:$Y$990,2)</f>
        <v>1.75</v>
      </c>
      <c r="S29" s="40" t="str">
        <f>VLOOKUP(R29,TGQC!$H$1:$I$16,2,0)</f>
        <v>Passed</v>
      </c>
    </row>
    <row r="30" spans="1:19" x14ac:dyDescent="0.3">
      <c r="A30" s="40">
        <v>17</v>
      </c>
      <c r="B30" s="41" t="str">
        <f>'DATA ENTRY'!B42</f>
        <v>24-QC13213</v>
      </c>
      <c r="C30" s="42" t="str">
        <f>'DATA ENTRY'!C42</f>
        <v>ENGUAS, JEFFERSON ETONG</v>
      </c>
      <c r="D30" s="43">
        <v>95</v>
      </c>
      <c r="E30" s="43">
        <v>95</v>
      </c>
      <c r="F30" s="43">
        <v>85</v>
      </c>
      <c r="G30" s="43"/>
      <c r="H30" s="43"/>
      <c r="I30" s="44">
        <f t="shared" si="0"/>
        <v>91.666666666666671</v>
      </c>
      <c r="J30" s="43" t="s">
        <v>121</v>
      </c>
      <c r="K30" s="43" t="s">
        <v>121</v>
      </c>
      <c r="L30" s="43" t="s">
        <v>121</v>
      </c>
      <c r="M30" s="43">
        <v>94</v>
      </c>
      <c r="N30" s="43"/>
      <c r="O30" s="44">
        <f t="shared" si="1"/>
        <v>94</v>
      </c>
      <c r="P30" s="43">
        <v>94</v>
      </c>
      <c r="Q30" s="45">
        <f t="shared" si="2"/>
        <v>93.222222222222229</v>
      </c>
      <c r="R30" s="40">
        <f>VLOOKUP(Q30,TGQC!$X$1:$Y$990,2)</f>
        <v>1.5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24-QC13789</v>
      </c>
      <c r="C31" s="42" t="str">
        <f>'DATA ENTRY'!C43</f>
        <v>ESTRADA, KENNETH ANDREI VINLUAN</v>
      </c>
      <c r="D31" s="43">
        <v>68</v>
      </c>
      <c r="E31" s="43">
        <v>68</v>
      </c>
      <c r="F31" s="43">
        <v>68</v>
      </c>
      <c r="G31" s="43"/>
      <c r="H31" s="43"/>
      <c r="I31" s="44">
        <f t="shared" si="0"/>
        <v>68</v>
      </c>
      <c r="J31" s="43" t="s">
        <v>122</v>
      </c>
      <c r="K31" s="43" t="s">
        <v>122</v>
      </c>
      <c r="L31" s="43" t="s">
        <v>122</v>
      </c>
      <c r="M31" s="43">
        <v>68</v>
      </c>
      <c r="N31" s="43"/>
      <c r="O31" s="44">
        <f t="shared" si="1"/>
        <v>68</v>
      </c>
      <c r="P31" s="43">
        <v>68</v>
      </c>
      <c r="Q31" s="45">
        <f t="shared" si="2"/>
        <v>68</v>
      </c>
      <c r="R31" s="40">
        <f>VLOOKUP(Q31,TGQC!$X$1:$Y$990,2)</f>
        <v>5</v>
      </c>
      <c r="S31" s="40" t="str">
        <f>VLOOKUP(R31,TGQC!$H$1:$I$16,2,0)</f>
        <v>Failed</v>
      </c>
    </row>
    <row r="32" spans="1:19" x14ac:dyDescent="0.3">
      <c r="A32" s="40">
        <v>19</v>
      </c>
      <c r="B32" s="41" t="str">
        <f>'DATA ENTRY'!B44</f>
        <v>24-QC13643</v>
      </c>
      <c r="C32" s="42" t="str">
        <f>'DATA ENTRY'!C44</f>
        <v>FRIANEZA, MITCH LORKAN TUTOP</v>
      </c>
      <c r="D32" s="43">
        <v>86</v>
      </c>
      <c r="E32" s="43">
        <v>97</v>
      </c>
      <c r="F32" s="43">
        <v>92</v>
      </c>
      <c r="G32" s="43"/>
      <c r="H32" s="43"/>
      <c r="I32" s="44">
        <f t="shared" si="0"/>
        <v>91.666666666666671</v>
      </c>
      <c r="J32" s="43" t="s">
        <v>121</v>
      </c>
      <c r="K32" s="43" t="s">
        <v>121</v>
      </c>
      <c r="L32" s="43" t="s">
        <v>122</v>
      </c>
      <c r="M32" s="43">
        <v>80</v>
      </c>
      <c r="N32" s="43"/>
      <c r="O32" s="44">
        <f t="shared" si="1"/>
        <v>80</v>
      </c>
      <c r="P32" s="43">
        <v>80</v>
      </c>
      <c r="Q32" s="45">
        <f t="shared" si="2"/>
        <v>83.8888888888889</v>
      </c>
      <c r="R32" s="40">
        <f>VLOOKUP(Q32,TGQC!$X$1:$Y$990,2)</f>
        <v>2.25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24-QC13741</v>
      </c>
      <c r="C33" s="42" t="str">
        <f>'DATA ENTRY'!C45</f>
        <v>GAERLAN, AXEL LOPEZ</v>
      </c>
      <c r="D33" s="43">
        <v>93</v>
      </c>
      <c r="E33" s="43">
        <v>90</v>
      </c>
      <c r="F33" s="43">
        <v>100</v>
      </c>
      <c r="G33" s="43"/>
      <c r="H33" s="43"/>
      <c r="I33" s="44">
        <f t="shared" si="0"/>
        <v>94.333333333333329</v>
      </c>
      <c r="J33" s="43" t="s">
        <v>122</v>
      </c>
      <c r="K33" s="43" t="s">
        <v>122</v>
      </c>
      <c r="L33" s="43" t="s">
        <v>122</v>
      </c>
      <c r="M33" s="43">
        <v>98</v>
      </c>
      <c r="N33" s="43"/>
      <c r="O33" s="44">
        <f t="shared" si="1"/>
        <v>98</v>
      </c>
      <c r="P33" s="43">
        <v>98</v>
      </c>
      <c r="Q33" s="45">
        <f t="shared" si="2"/>
        <v>96.777777777777771</v>
      </c>
      <c r="R33" s="40">
        <f>VLOOKUP(Q33,TGQC!$X$1:$Y$990,2)</f>
        <v>1.25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24-QC12340</v>
      </c>
      <c r="C34" s="42" t="str">
        <f>'DATA ENTRY'!C46</f>
        <v>GARCIA, JUSTIN CARBONQUILLO</v>
      </c>
      <c r="D34" s="43">
        <v>95</v>
      </c>
      <c r="E34" s="43">
        <v>88</v>
      </c>
      <c r="F34" s="43">
        <v>85</v>
      </c>
      <c r="G34" s="43"/>
      <c r="H34" s="43"/>
      <c r="I34" s="44">
        <f t="shared" si="0"/>
        <v>89.333333333333329</v>
      </c>
      <c r="J34" s="43" t="s">
        <v>121</v>
      </c>
      <c r="K34" s="43" t="s">
        <v>121</v>
      </c>
      <c r="L34" s="43" t="s">
        <v>122</v>
      </c>
      <c r="M34" s="43">
        <v>92</v>
      </c>
      <c r="N34" s="43"/>
      <c r="O34" s="44">
        <f t="shared" si="1"/>
        <v>92</v>
      </c>
      <c r="P34" s="43">
        <v>92</v>
      </c>
      <c r="Q34" s="45">
        <f t="shared" si="2"/>
        <v>91.1111111111111</v>
      </c>
      <c r="R34" s="40">
        <f>VLOOKUP(Q34,TGQC!$X$1:$Y$990,2)</f>
        <v>1.75</v>
      </c>
      <c r="S34" s="40" t="str">
        <f>VLOOKUP(R34,TGQC!$H$1:$I$16,2,0)</f>
        <v>Passed</v>
      </c>
    </row>
    <row r="35" spans="1:19" x14ac:dyDescent="0.3">
      <c r="A35" s="40">
        <v>22</v>
      </c>
      <c r="B35" s="41" t="str">
        <f>'DATA ENTRY'!B47</f>
        <v>24-QC12193</v>
      </c>
      <c r="C35" s="42" t="str">
        <f>'DATA ENTRY'!C47</f>
        <v>GROSPE, ARL JOHN GAMBOA</v>
      </c>
      <c r="D35" s="43">
        <v>100</v>
      </c>
      <c r="E35" s="43">
        <v>100</v>
      </c>
      <c r="F35" s="43">
        <v>95</v>
      </c>
      <c r="G35" s="43"/>
      <c r="H35" s="43"/>
      <c r="I35" s="44">
        <f t="shared" si="0"/>
        <v>98.333333333333329</v>
      </c>
      <c r="J35" s="43" t="s">
        <v>121</v>
      </c>
      <c r="K35" s="43" t="s">
        <v>121</v>
      </c>
      <c r="L35" s="43" t="s">
        <v>121</v>
      </c>
      <c r="M35" s="43">
        <v>94</v>
      </c>
      <c r="N35" s="43"/>
      <c r="O35" s="44">
        <f t="shared" si="1"/>
        <v>94</v>
      </c>
      <c r="P35" s="43">
        <v>94</v>
      </c>
      <c r="Q35" s="45">
        <f t="shared" si="2"/>
        <v>95.444444444444443</v>
      </c>
      <c r="R35" s="40">
        <f>VLOOKUP(Q35,TGQC!$X$1:$Y$990,2)</f>
        <v>1.25</v>
      </c>
      <c r="S35" s="40" t="str">
        <f>VLOOKUP(R35,TGQC!$H$1:$I$16,2,0)</f>
        <v>Passed</v>
      </c>
    </row>
    <row r="36" spans="1:19" x14ac:dyDescent="0.3">
      <c r="A36" s="40">
        <v>23</v>
      </c>
      <c r="B36" s="41" t="str">
        <f>'DATA ENTRY'!B48</f>
        <v>24-QC13448</v>
      </c>
      <c r="C36" s="42" t="str">
        <f>'DATA ENTRY'!C48</f>
        <v>JARINA, YUKI AUDREY DE GUZMAN</v>
      </c>
      <c r="D36" s="43">
        <v>92</v>
      </c>
      <c r="E36" s="43">
        <v>97</v>
      </c>
      <c r="F36" s="43">
        <v>85</v>
      </c>
      <c r="G36" s="43"/>
      <c r="H36" s="43"/>
      <c r="I36" s="44">
        <f t="shared" si="0"/>
        <v>91.333333333333329</v>
      </c>
      <c r="J36" s="43" t="s">
        <v>121</v>
      </c>
      <c r="K36" s="43" t="s">
        <v>121</v>
      </c>
      <c r="L36" s="43" t="s">
        <v>121</v>
      </c>
      <c r="M36" s="43">
        <v>80</v>
      </c>
      <c r="N36" s="43"/>
      <c r="O36" s="44">
        <f t="shared" si="1"/>
        <v>80</v>
      </c>
      <c r="P36" s="43">
        <v>80</v>
      </c>
      <c r="Q36" s="45">
        <f t="shared" si="2"/>
        <v>83.777777777777771</v>
      </c>
      <c r="R36" s="40">
        <f>VLOOKUP(Q36,TGQC!$X$1:$Y$990,2)</f>
        <v>2.25</v>
      </c>
      <c r="S36" s="40" t="str">
        <f>VLOOKUP(R36,TGQC!$H$1:$I$16,2,0)</f>
        <v>Passed</v>
      </c>
    </row>
    <row r="37" spans="1:19" x14ac:dyDescent="0.3">
      <c r="A37" s="40">
        <v>24</v>
      </c>
      <c r="B37" s="41" t="str">
        <f>'DATA ENTRY'!B49</f>
        <v>24-QC14896</v>
      </c>
      <c r="C37" s="42" t="str">
        <f>'DATA ENTRY'!C49</f>
        <v>JOAQUIN, JOHN NARRAH N/A</v>
      </c>
      <c r="D37" s="43">
        <v>95</v>
      </c>
      <c r="E37" s="43">
        <v>93</v>
      </c>
      <c r="F37" s="43">
        <v>85</v>
      </c>
      <c r="G37" s="43"/>
      <c r="H37" s="43"/>
      <c r="I37" s="44">
        <f t="shared" si="0"/>
        <v>91</v>
      </c>
      <c r="J37" s="62" t="s">
        <v>122</v>
      </c>
      <c r="K37" s="62" t="s">
        <v>121</v>
      </c>
      <c r="L37" s="43" t="s">
        <v>122</v>
      </c>
      <c r="M37" s="43">
        <v>98</v>
      </c>
      <c r="N37" s="43"/>
      <c r="O37" s="44">
        <f t="shared" si="1"/>
        <v>98</v>
      </c>
      <c r="P37" s="43">
        <v>98</v>
      </c>
      <c r="Q37" s="45">
        <f t="shared" si="2"/>
        <v>95.666666666666671</v>
      </c>
      <c r="R37" s="40">
        <f>VLOOKUP(Q37,TGQC!$X$1:$Y$990,2)</f>
        <v>1.25</v>
      </c>
      <c r="S37" s="40" t="str">
        <f>VLOOKUP(R37,TGQC!$H$1:$I$16,2,0)</f>
        <v>Passed</v>
      </c>
    </row>
    <row r="38" spans="1:19" x14ac:dyDescent="0.3">
      <c r="A38" s="40">
        <v>25</v>
      </c>
      <c r="B38" s="41" t="str">
        <f>'DATA ENTRY'!B50</f>
        <v>24-QC12817</v>
      </c>
      <c r="C38" s="42" t="str">
        <f>'DATA ENTRY'!C50</f>
        <v>LAGROSA, JARED JASPER BAYANI</v>
      </c>
      <c r="D38" s="43">
        <v>97</v>
      </c>
      <c r="E38" s="43">
        <v>94</v>
      </c>
      <c r="F38" s="43">
        <v>85</v>
      </c>
      <c r="G38" s="43"/>
      <c r="H38" s="43"/>
      <c r="I38" s="44">
        <f t="shared" si="0"/>
        <v>92</v>
      </c>
      <c r="J38" s="43" t="s">
        <v>121</v>
      </c>
      <c r="K38" s="43" t="s">
        <v>121</v>
      </c>
      <c r="L38" s="43" t="s">
        <v>121</v>
      </c>
      <c r="M38" s="43">
        <v>98</v>
      </c>
      <c r="N38" s="43"/>
      <c r="O38" s="44">
        <f t="shared" si="1"/>
        <v>98</v>
      </c>
      <c r="P38" s="43">
        <v>98</v>
      </c>
      <c r="Q38" s="45">
        <f t="shared" si="2"/>
        <v>96</v>
      </c>
      <c r="R38" s="40">
        <f>VLOOKUP(Q38,TGQC!$X$1:$Y$990,2)</f>
        <v>1.25</v>
      </c>
      <c r="S38" s="40" t="str">
        <f>VLOOKUP(R38,TGQC!$H$1:$I$16,2,0)</f>
        <v>Passed</v>
      </c>
    </row>
    <row r="39" spans="1:19" x14ac:dyDescent="0.3">
      <c r="A39" s="40">
        <v>26</v>
      </c>
      <c r="B39" s="41" t="str">
        <f>'DATA ENTRY'!B51</f>
        <v>24-QC14194</v>
      </c>
      <c r="C39" s="42" t="str">
        <f>'DATA ENTRY'!C51</f>
        <v>LIBATON, JASON BALBUENA</v>
      </c>
      <c r="D39" s="43">
        <v>95</v>
      </c>
      <c r="E39" s="43">
        <v>94</v>
      </c>
      <c r="F39" s="43">
        <v>95</v>
      </c>
      <c r="G39" s="43"/>
      <c r="H39" s="43"/>
      <c r="I39" s="44">
        <f t="shared" si="0"/>
        <v>94.666666666666671</v>
      </c>
      <c r="J39" s="43" t="s">
        <v>121</v>
      </c>
      <c r="K39" s="43" t="s">
        <v>121</v>
      </c>
      <c r="L39" s="43" t="s">
        <v>121</v>
      </c>
      <c r="M39" s="43">
        <v>80</v>
      </c>
      <c r="N39" s="43"/>
      <c r="O39" s="44">
        <f t="shared" si="1"/>
        <v>80</v>
      </c>
      <c r="P39" s="43">
        <v>80</v>
      </c>
      <c r="Q39" s="45">
        <f t="shared" si="2"/>
        <v>84.8888888888889</v>
      </c>
      <c r="R39" s="40">
        <f>VLOOKUP(Q39,TGQC!$X$1:$Y$990,2)</f>
        <v>2.25</v>
      </c>
      <c r="S39" s="40" t="str">
        <f>VLOOKUP(R39,TGQC!$H$1:$I$16,2,0)</f>
        <v>Passed</v>
      </c>
    </row>
    <row r="40" spans="1:19" x14ac:dyDescent="0.3">
      <c r="A40" s="40">
        <v>27</v>
      </c>
      <c r="B40" s="41" t="str">
        <f>'DATA ENTRY'!B52</f>
        <v>24-QC12290</v>
      </c>
      <c r="C40" s="42" t="str">
        <f>'DATA ENTRY'!C52</f>
        <v>MAGISTRADO, RADZ EMMAN ABRIS</v>
      </c>
      <c r="D40" s="43">
        <v>94</v>
      </c>
      <c r="E40" s="43">
        <v>90</v>
      </c>
      <c r="F40" s="43">
        <v>70</v>
      </c>
      <c r="G40" s="43"/>
      <c r="H40" s="43"/>
      <c r="I40" s="44">
        <f t="shared" si="0"/>
        <v>84.666666666666671</v>
      </c>
      <c r="J40" s="43" t="s">
        <v>121</v>
      </c>
      <c r="K40" s="43" t="s">
        <v>121</v>
      </c>
      <c r="L40" s="43" t="s">
        <v>121</v>
      </c>
      <c r="M40" s="43">
        <v>94</v>
      </c>
      <c r="N40" s="43"/>
      <c r="O40" s="44">
        <f t="shared" si="1"/>
        <v>94</v>
      </c>
      <c r="P40" s="43">
        <v>94</v>
      </c>
      <c r="Q40" s="45">
        <f t="shared" si="2"/>
        <v>90.8888888888889</v>
      </c>
      <c r="R40" s="40">
        <f>VLOOKUP(Q40,TGQC!$X$1:$Y$990,2)</f>
        <v>1.75</v>
      </c>
      <c r="S40" s="40" t="str">
        <f>VLOOKUP(R40,TGQC!$H$1:$I$16,2,0)</f>
        <v>Passed</v>
      </c>
    </row>
    <row r="41" spans="1:19" x14ac:dyDescent="0.3">
      <c r="A41" s="40">
        <v>28</v>
      </c>
      <c r="B41" s="41" t="str">
        <f>'DATA ENTRY'!B53</f>
        <v>24-QC13638</v>
      </c>
      <c r="C41" s="42" t="str">
        <f>'DATA ENTRY'!C53</f>
        <v>MAMACLAY, CHRISTIAN SUMAGAYSAY</v>
      </c>
      <c r="D41" s="43">
        <v>88</v>
      </c>
      <c r="E41" s="43">
        <v>90</v>
      </c>
      <c r="F41" s="43">
        <v>100</v>
      </c>
      <c r="G41" s="43"/>
      <c r="H41" s="43"/>
      <c r="I41" s="44">
        <f t="shared" si="0"/>
        <v>92.666666666666671</v>
      </c>
      <c r="J41" s="43" t="s">
        <v>121</v>
      </c>
      <c r="K41" s="43" t="s">
        <v>121</v>
      </c>
      <c r="L41" s="43" t="s">
        <v>122</v>
      </c>
      <c r="M41" s="43">
        <v>90</v>
      </c>
      <c r="N41" s="43"/>
      <c r="O41" s="44">
        <f>IFERROR(AVERAGE(J41:N41),"0")</f>
        <v>90</v>
      </c>
      <c r="P41" s="43">
        <v>90</v>
      </c>
      <c r="Q41" s="45">
        <f t="shared" si="2"/>
        <v>90.8888888888889</v>
      </c>
      <c r="R41" s="40">
        <f>VLOOKUP(Q41,TGQC!$X$1:$Y$990,2)</f>
        <v>1.75</v>
      </c>
      <c r="S41" s="40" t="str">
        <f>VLOOKUP(R41,TGQC!$H$1:$I$16,2,0)</f>
        <v>Passed</v>
      </c>
    </row>
    <row r="42" spans="1:19" x14ac:dyDescent="0.3">
      <c r="A42" s="40">
        <v>29</v>
      </c>
      <c r="B42" s="41" t="str">
        <f>'DATA ENTRY'!B54</f>
        <v>24-QC13903</v>
      </c>
      <c r="C42" s="42" t="str">
        <f>'DATA ENTRY'!C54</f>
        <v>NAYON, JOHN CARL MACALACAD</v>
      </c>
      <c r="D42" s="43">
        <v>70</v>
      </c>
      <c r="E42" s="43">
        <v>85</v>
      </c>
      <c r="F42" s="43">
        <v>85</v>
      </c>
      <c r="G42" s="43"/>
      <c r="H42" s="43"/>
      <c r="I42" s="44">
        <f t="shared" si="0"/>
        <v>80</v>
      </c>
      <c r="J42" s="43" t="s">
        <v>121</v>
      </c>
      <c r="K42" s="43" t="s">
        <v>121</v>
      </c>
      <c r="L42" s="43" t="s">
        <v>122</v>
      </c>
      <c r="M42" s="43">
        <v>88</v>
      </c>
      <c r="N42" s="43"/>
      <c r="O42" s="44">
        <f t="shared" si="1"/>
        <v>88</v>
      </c>
      <c r="P42" s="43">
        <v>88</v>
      </c>
      <c r="Q42" s="45">
        <f t="shared" si="2"/>
        <v>85.333333333333329</v>
      </c>
      <c r="R42" s="40">
        <f>VLOOKUP(Q42,TGQC!$X$1:$Y$990,2)</f>
        <v>2.25</v>
      </c>
      <c r="S42" s="40" t="str">
        <f>VLOOKUP(R42,TGQC!$H$1:$I$16,2,0)</f>
        <v>Passed</v>
      </c>
    </row>
    <row r="43" spans="1:19" x14ac:dyDescent="0.3">
      <c r="A43" s="40">
        <v>30</v>
      </c>
      <c r="B43" s="41" t="str">
        <f>'DATA ENTRY'!B55</f>
        <v>24-QC12413</v>
      </c>
      <c r="C43" s="42" t="str">
        <f>'DATA ENTRY'!C55</f>
        <v>PACULANAN, MARK DANIEL AMBUYOC</v>
      </c>
      <c r="D43" s="43">
        <v>97</v>
      </c>
      <c r="E43" s="43">
        <v>87</v>
      </c>
      <c r="F43" s="43">
        <v>100</v>
      </c>
      <c r="G43" s="43"/>
      <c r="H43" s="43"/>
      <c r="I43" s="44">
        <f t="shared" si="0"/>
        <v>94.666666666666671</v>
      </c>
      <c r="J43" s="43" t="s">
        <v>122</v>
      </c>
      <c r="K43" s="43" t="s">
        <v>122</v>
      </c>
      <c r="L43" s="43" t="s">
        <v>121</v>
      </c>
      <c r="M43" s="43">
        <v>90</v>
      </c>
      <c r="N43" s="43"/>
      <c r="O43" s="44">
        <f t="shared" si="1"/>
        <v>90</v>
      </c>
      <c r="P43" s="43">
        <v>90</v>
      </c>
      <c r="Q43" s="45">
        <f t="shared" si="2"/>
        <v>91.555555555555557</v>
      </c>
      <c r="R43" s="40">
        <f>VLOOKUP(Q43,TGQC!$X$1:$Y$990,2)</f>
        <v>1.5</v>
      </c>
      <c r="S43" s="40" t="str">
        <f>VLOOKUP(R43,TGQC!$H$1:$I$16,2,0)</f>
        <v>Passed</v>
      </c>
    </row>
    <row r="44" spans="1:19" x14ac:dyDescent="0.3">
      <c r="A44" s="40">
        <v>31</v>
      </c>
      <c r="B44" s="41" t="str">
        <f>'DATA ENTRY'!B56</f>
        <v>24-QC12733</v>
      </c>
      <c r="C44" s="42" t="str">
        <f>'DATA ENTRY'!C56</f>
        <v>PALANGDAO, CRISTAN JOSS LIMOS</v>
      </c>
      <c r="D44" s="43">
        <v>94</v>
      </c>
      <c r="E44" s="43">
        <v>90</v>
      </c>
      <c r="F44" s="43">
        <v>85</v>
      </c>
      <c r="G44" s="43"/>
      <c r="H44" s="43"/>
      <c r="I44" s="44">
        <f t="shared" si="0"/>
        <v>89.666666666666671</v>
      </c>
      <c r="J44" s="43" t="s">
        <v>121</v>
      </c>
      <c r="K44" s="43" t="s">
        <v>121</v>
      </c>
      <c r="L44" s="43" t="s">
        <v>121</v>
      </c>
      <c r="M44" s="43">
        <v>90</v>
      </c>
      <c r="N44" s="43"/>
      <c r="O44" s="44">
        <f t="shared" si="1"/>
        <v>90</v>
      </c>
      <c r="P44" s="43">
        <v>90</v>
      </c>
      <c r="Q44" s="45">
        <f t="shared" si="2"/>
        <v>89.8888888888889</v>
      </c>
      <c r="R44" s="40">
        <f>VLOOKUP(Q44,TGQC!$X$1:$Y$990,2)</f>
        <v>1.75</v>
      </c>
      <c r="S44" s="40" t="str">
        <f>VLOOKUP(R44,TGQC!$H$1:$I$16,2,0)</f>
        <v>Passed</v>
      </c>
    </row>
    <row r="45" spans="1:19" x14ac:dyDescent="0.3">
      <c r="A45" s="40">
        <v>32</v>
      </c>
      <c r="B45" s="41" t="str">
        <f>'DATA ENTRY'!B57</f>
        <v>24-QC13852</v>
      </c>
      <c r="C45" s="42" t="str">
        <f>'DATA ENTRY'!C57</f>
        <v>PAULAR, BENEDICT JOHN GONZALES</v>
      </c>
      <c r="D45" s="43">
        <v>94</v>
      </c>
      <c r="E45" s="43">
        <v>100</v>
      </c>
      <c r="F45" s="43">
        <v>70</v>
      </c>
      <c r="G45" s="43"/>
      <c r="H45" s="43"/>
      <c r="I45" s="44">
        <f t="shared" si="0"/>
        <v>88</v>
      </c>
      <c r="J45" s="43" t="s">
        <v>121</v>
      </c>
      <c r="K45" s="43" t="s">
        <v>121</v>
      </c>
      <c r="L45" s="43" t="s">
        <v>121</v>
      </c>
      <c r="M45" s="43">
        <v>80</v>
      </c>
      <c r="N45" s="43"/>
      <c r="O45" s="44">
        <f t="shared" si="1"/>
        <v>80</v>
      </c>
      <c r="P45" s="43">
        <v>80</v>
      </c>
      <c r="Q45" s="45">
        <f t="shared" si="2"/>
        <v>82.666666666666671</v>
      </c>
      <c r="R45" s="40">
        <f>VLOOKUP(Q45,TGQC!$X$1:$Y$990,2)</f>
        <v>2.25</v>
      </c>
      <c r="S45" s="40" t="str">
        <f>VLOOKUP(R45,TGQC!$H$1:$I$16,2,0)</f>
        <v>Passed</v>
      </c>
    </row>
    <row r="46" spans="1:19" x14ac:dyDescent="0.3">
      <c r="A46" s="40">
        <v>33</v>
      </c>
      <c r="B46" s="41" t="str">
        <f>'DATA ENTRY'!B58</f>
        <v>24-QC14065</v>
      </c>
      <c r="C46" s="42" t="str">
        <f>'DATA ENTRY'!C58</f>
        <v>PEÑA, CEJAY CELLO</v>
      </c>
      <c r="D46" s="43">
        <v>91</v>
      </c>
      <c r="E46" s="43">
        <v>90</v>
      </c>
      <c r="F46" s="43">
        <v>85</v>
      </c>
      <c r="G46" s="43"/>
      <c r="H46" s="43"/>
      <c r="I46" s="44">
        <f t="shared" si="0"/>
        <v>88.666666666666671</v>
      </c>
      <c r="J46" s="43" t="s">
        <v>121</v>
      </c>
      <c r="K46" s="43" t="s">
        <v>121</v>
      </c>
      <c r="L46" s="43" t="s">
        <v>122</v>
      </c>
      <c r="M46" s="43">
        <v>90</v>
      </c>
      <c r="N46" s="43"/>
      <c r="O46" s="44">
        <f t="shared" si="1"/>
        <v>90</v>
      </c>
      <c r="P46" s="43">
        <v>90</v>
      </c>
      <c r="Q46" s="45">
        <f t="shared" si="2"/>
        <v>89.555555555555557</v>
      </c>
      <c r="R46" s="40">
        <f>VLOOKUP(Q46,TGQC!$X$1:$Y$990,2)</f>
        <v>1.75</v>
      </c>
      <c r="S46" s="40" t="str">
        <f>VLOOKUP(R46,TGQC!$H$1:$I$16,2,0)</f>
        <v>Passed</v>
      </c>
    </row>
    <row r="47" spans="1:19" x14ac:dyDescent="0.3">
      <c r="A47" s="40">
        <v>34</v>
      </c>
      <c r="B47" s="41" t="str">
        <f>'DATA ENTRY'!B59</f>
        <v>24-QC12125</v>
      </c>
      <c r="C47" s="42" t="str">
        <f>'DATA ENTRY'!C59</f>
        <v>PURISIMA, KRISHA ANN BUCO</v>
      </c>
      <c r="D47" s="43">
        <v>93</v>
      </c>
      <c r="E47" s="43">
        <v>90</v>
      </c>
      <c r="F47" s="43">
        <v>85</v>
      </c>
      <c r="G47" s="43"/>
      <c r="H47" s="43"/>
      <c r="I47" s="44">
        <f t="shared" si="0"/>
        <v>89.333333333333329</v>
      </c>
      <c r="J47" s="43" t="s">
        <v>121</v>
      </c>
      <c r="K47" s="43" t="s">
        <v>121</v>
      </c>
      <c r="L47" s="43" t="s">
        <v>121</v>
      </c>
      <c r="M47" s="43">
        <v>98</v>
      </c>
      <c r="N47" s="43"/>
      <c r="O47" s="44">
        <f t="shared" si="1"/>
        <v>98</v>
      </c>
      <c r="P47" s="43">
        <v>98</v>
      </c>
      <c r="Q47" s="45">
        <f t="shared" si="2"/>
        <v>95.1111111111111</v>
      </c>
      <c r="R47" s="40">
        <f>VLOOKUP(Q47,TGQC!$X$1:$Y$990,2)</f>
        <v>1.25</v>
      </c>
      <c r="S47" s="40" t="str">
        <f>VLOOKUP(R47,TGQC!$H$1:$I$16,2,0)</f>
        <v>Passed</v>
      </c>
    </row>
    <row r="48" spans="1:19" x14ac:dyDescent="0.3">
      <c r="A48" s="40">
        <v>35</v>
      </c>
      <c r="B48" s="41" t="str">
        <f>'DATA ENTRY'!B60</f>
        <v>24-QC12818</v>
      </c>
      <c r="C48" s="42" t="str">
        <f>'DATA ENTRY'!C60</f>
        <v>SESE, GERALDINO CARIÑO JR</v>
      </c>
      <c r="D48" s="43">
        <v>93</v>
      </c>
      <c r="E48" s="43">
        <v>90</v>
      </c>
      <c r="F48" s="43">
        <v>70</v>
      </c>
      <c r="G48" s="43"/>
      <c r="H48" s="43"/>
      <c r="I48" s="44">
        <f t="shared" si="0"/>
        <v>84.333333333333329</v>
      </c>
      <c r="J48" s="43" t="s">
        <v>121</v>
      </c>
      <c r="K48" s="43" t="s">
        <v>121</v>
      </c>
      <c r="L48" s="43" t="s">
        <v>121</v>
      </c>
      <c r="M48" s="43">
        <v>94</v>
      </c>
      <c r="N48" s="43"/>
      <c r="O48" s="44">
        <f t="shared" si="1"/>
        <v>94</v>
      </c>
      <c r="P48" s="43">
        <v>94</v>
      </c>
      <c r="Q48" s="45">
        <f t="shared" si="2"/>
        <v>90.777777777777771</v>
      </c>
      <c r="R48" s="40">
        <f>VLOOKUP(Q48,TGQC!$X$1:$Y$990,2)</f>
        <v>1.75</v>
      </c>
      <c r="S48" s="40" t="str">
        <f>VLOOKUP(R48,TGQC!$H$1:$I$16,2,0)</f>
        <v>Passed</v>
      </c>
    </row>
    <row r="49" spans="1:19" x14ac:dyDescent="0.3">
      <c r="A49" s="40">
        <v>36</v>
      </c>
      <c r="B49" s="41" t="str">
        <f>'DATA ENTRY'!B61</f>
        <v>24-QC13100</v>
      </c>
      <c r="C49" s="42" t="str">
        <f>'DATA ENTRY'!C61</f>
        <v>SUBIDA, THERESE ANGELI CASTRO</v>
      </c>
      <c r="D49" s="43">
        <v>100</v>
      </c>
      <c r="E49" s="43">
        <v>90</v>
      </c>
      <c r="F49" s="43">
        <v>85</v>
      </c>
      <c r="G49" s="43"/>
      <c r="H49" s="43"/>
      <c r="I49" s="44">
        <f t="shared" si="0"/>
        <v>91.666666666666671</v>
      </c>
      <c r="J49" s="43" t="s">
        <v>121</v>
      </c>
      <c r="K49" s="43" t="s">
        <v>121</v>
      </c>
      <c r="L49" s="43" t="s">
        <v>122</v>
      </c>
      <c r="M49" s="43">
        <v>100</v>
      </c>
      <c r="N49" s="43"/>
      <c r="O49" s="44">
        <f t="shared" si="1"/>
        <v>100</v>
      </c>
      <c r="P49" s="43">
        <v>100</v>
      </c>
      <c r="Q49" s="45">
        <f t="shared" si="2"/>
        <v>97.222222222222229</v>
      </c>
      <c r="R49" s="40">
        <f>VLOOKUP(Q49,TGQC!$X$1:$Y$990,2)</f>
        <v>1.25</v>
      </c>
      <c r="S49" s="40" t="str">
        <f>VLOOKUP(R49,TGQC!$H$1:$I$16,2,0)</f>
        <v>Passed</v>
      </c>
    </row>
    <row r="50" spans="1:19" x14ac:dyDescent="0.3">
      <c r="A50" s="40">
        <v>37</v>
      </c>
      <c r="B50" s="41" t="str">
        <f>'DATA ENTRY'!B62</f>
        <v>24-QC13520</v>
      </c>
      <c r="C50" s="42" t="str">
        <f>'DATA ENTRY'!C62</f>
        <v>TAN, CHRISJAN GABRIEL SAGARIO</v>
      </c>
      <c r="D50" s="43">
        <v>100</v>
      </c>
      <c r="E50" s="43">
        <v>90</v>
      </c>
      <c r="F50" s="43">
        <v>85</v>
      </c>
      <c r="G50" s="43"/>
      <c r="H50" s="43"/>
      <c r="I50" s="44">
        <f t="shared" si="0"/>
        <v>91.666666666666671</v>
      </c>
      <c r="J50" s="43" t="s">
        <v>121</v>
      </c>
      <c r="K50" s="43" t="s">
        <v>121</v>
      </c>
      <c r="L50" s="43" t="s">
        <v>121</v>
      </c>
      <c r="M50" s="43">
        <v>95</v>
      </c>
      <c r="N50" s="43"/>
      <c r="O50" s="44">
        <f t="shared" si="1"/>
        <v>95</v>
      </c>
      <c r="P50" s="43">
        <v>95</v>
      </c>
      <c r="Q50" s="45">
        <f t="shared" si="2"/>
        <v>93.8888888888889</v>
      </c>
      <c r="R50" s="40">
        <f>VLOOKUP(Q50,TGQC!$X$1:$Y$990,2)</f>
        <v>1.5</v>
      </c>
      <c r="S50" s="40" t="str">
        <f>VLOOKUP(R50,TGQC!$H$1:$I$16,2,0)</f>
        <v>Passed</v>
      </c>
    </row>
    <row r="51" spans="1:19" x14ac:dyDescent="0.3">
      <c r="A51" s="40">
        <v>38</v>
      </c>
      <c r="B51" s="41" t="str">
        <f>'DATA ENTRY'!B63</f>
        <v>23-QC04979</v>
      </c>
      <c r="C51" s="42" t="str">
        <f>'DATA ENTRY'!C63</f>
        <v>TULA, MALIC ANGCAS</v>
      </c>
      <c r="D51" s="43">
        <v>100</v>
      </c>
      <c r="E51" s="43">
        <v>90</v>
      </c>
      <c r="F51" s="43">
        <v>88</v>
      </c>
      <c r="G51" s="43"/>
      <c r="H51" s="43"/>
      <c r="I51" s="44">
        <f t="shared" si="0"/>
        <v>92.666666666666671</v>
      </c>
      <c r="J51" s="43" t="s">
        <v>121</v>
      </c>
      <c r="K51" s="43" t="s">
        <v>121</v>
      </c>
      <c r="L51" s="43" t="s">
        <v>121</v>
      </c>
      <c r="M51" s="43">
        <v>94</v>
      </c>
      <c r="N51" s="43"/>
      <c r="O51" s="44">
        <f t="shared" si="1"/>
        <v>94</v>
      </c>
      <c r="P51" s="43">
        <v>94</v>
      </c>
      <c r="Q51" s="45">
        <f t="shared" si="2"/>
        <v>93.555555555555557</v>
      </c>
      <c r="R51" s="40">
        <f>VLOOKUP(Q51,TGQC!$X$1:$Y$990,2)</f>
        <v>1.5</v>
      </c>
      <c r="S51" s="40" t="str">
        <f>VLOOKUP(R51,TGQC!$H$1:$I$16,2,0)</f>
        <v>Passed</v>
      </c>
    </row>
    <row r="52" spans="1:19" x14ac:dyDescent="0.3">
      <c r="A52" s="40">
        <v>39</v>
      </c>
      <c r="B52" s="41" t="str">
        <f>'DATA ENTRY'!B64</f>
        <v>24-QC13844</v>
      </c>
      <c r="C52" s="42" t="str">
        <f>'DATA ENTRY'!C64</f>
        <v>VALDERAMA, KEISHA ABIGAIL ARROYO</v>
      </c>
      <c r="D52" s="43">
        <v>85</v>
      </c>
      <c r="E52" s="43">
        <v>70</v>
      </c>
      <c r="F52" s="43">
        <v>85</v>
      </c>
      <c r="G52" s="43"/>
      <c r="H52" s="43"/>
      <c r="I52" s="44">
        <f t="shared" si="0"/>
        <v>80</v>
      </c>
      <c r="J52" s="43" t="s">
        <v>121</v>
      </c>
      <c r="K52" s="43" t="s">
        <v>121</v>
      </c>
      <c r="L52" s="43" t="s">
        <v>121</v>
      </c>
      <c r="M52" s="43">
        <v>90</v>
      </c>
      <c r="N52" s="43"/>
      <c r="O52" s="44">
        <f t="shared" si="1"/>
        <v>90</v>
      </c>
      <c r="P52" s="43">
        <v>90</v>
      </c>
      <c r="Q52" s="45">
        <f t="shared" si="2"/>
        <v>86.666666666666671</v>
      </c>
      <c r="R52" s="40">
        <f>VLOOKUP(Q52,TGQC!$X$1:$Y$990,2)</f>
        <v>2</v>
      </c>
      <c r="S52" s="40" t="str">
        <f>VLOOKUP(R52,TGQC!$H$1:$I$16,2,0)</f>
        <v>Passed</v>
      </c>
    </row>
    <row r="53" spans="1:19" x14ac:dyDescent="0.3">
      <c r="A53" s="40">
        <v>40</v>
      </c>
      <c r="B53" s="41" t="str">
        <f>'DATA ENTRY'!B65</f>
        <v>24-QC14102</v>
      </c>
      <c r="C53" s="42" t="str">
        <f>'DATA ENTRY'!C65</f>
        <v>VELASCO, KIM ANTONETTE LINDONG</v>
      </c>
      <c r="D53" s="43">
        <v>85</v>
      </c>
      <c r="E53" s="43">
        <v>88</v>
      </c>
      <c r="F53" s="43">
        <v>100</v>
      </c>
      <c r="G53" s="43"/>
      <c r="H53" s="43"/>
      <c r="I53" s="44">
        <f t="shared" si="0"/>
        <v>91</v>
      </c>
      <c r="J53" s="43" t="s">
        <v>121</v>
      </c>
      <c r="K53" s="43" t="s">
        <v>122</v>
      </c>
      <c r="L53" s="43" t="s">
        <v>121</v>
      </c>
      <c r="M53" s="43">
        <v>90</v>
      </c>
      <c r="N53" s="43"/>
      <c r="O53" s="44">
        <f t="shared" si="1"/>
        <v>90</v>
      </c>
      <c r="P53" s="43">
        <v>90</v>
      </c>
      <c r="Q53" s="45">
        <f t="shared" si="2"/>
        <v>90.333333333333329</v>
      </c>
      <c r="R53" s="40">
        <f>VLOOKUP(Q53,TGQC!$X$1:$Y$990,2)</f>
        <v>1.75</v>
      </c>
      <c r="S53" s="40" t="str">
        <f>VLOOKUP(R53,TGQC!$H$1:$I$16,2,0)</f>
        <v>Passed</v>
      </c>
    </row>
    <row r="54" spans="1:19" x14ac:dyDescent="0.3">
      <c r="A54" s="40">
        <v>41</v>
      </c>
      <c r="B54" s="41" t="str">
        <f>'DATA ENTRY'!B66</f>
        <v>24-QC13208</v>
      </c>
      <c r="C54" s="42" t="str">
        <f>'DATA ENTRY'!C66</f>
        <v>VERECIO, ANGEL FAITH CIANO</v>
      </c>
      <c r="D54" s="43">
        <v>97</v>
      </c>
      <c r="E54" s="43">
        <v>90</v>
      </c>
      <c r="F54" s="43">
        <v>85</v>
      </c>
      <c r="G54" s="43"/>
      <c r="H54" s="43"/>
      <c r="I54" s="44">
        <f t="shared" si="0"/>
        <v>90.666666666666671</v>
      </c>
      <c r="J54" s="43" t="s">
        <v>121</v>
      </c>
      <c r="K54" s="43" t="s">
        <v>122</v>
      </c>
      <c r="L54" s="43" t="s">
        <v>121</v>
      </c>
      <c r="M54" s="43">
        <v>99</v>
      </c>
      <c r="N54" s="43"/>
      <c r="O54" s="44">
        <f t="shared" si="1"/>
        <v>99</v>
      </c>
      <c r="P54" s="43">
        <v>99</v>
      </c>
      <c r="Q54" s="45">
        <f t="shared" si="2"/>
        <v>96.222222222222229</v>
      </c>
      <c r="R54" s="40">
        <f>VLOOKUP(Q54,TGQC!$X$1:$Y$990,2)</f>
        <v>1.25</v>
      </c>
      <c r="S54" s="40" t="str">
        <f>VLOOKUP(R54,TGQC!$H$1:$I$16,2,0)</f>
        <v>Passed</v>
      </c>
    </row>
    <row r="55" spans="1:19" x14ac:dyDescent="0.3">
      <c r="A55" s="40">
        <v>42</v>
      </c>
      <c r="B55" s="41" t="str">
        <f>'DATA ENTRY'!B67</f>
        <v>24-QC13179</v>
      </c>
      <c r="C55" s="42" t="str">
        <f>'DATA ENTRY'!C67</f>
        <v>VILLAMOR, CHELSEY ANNE</v>
      </c>
      <c r="D55" s="43">
        <v>100</v>
      </c>
      <c r="E55" s="43">
        <v>100</v>
      </c>
      <c r="F55" s="43">
        <v>100</v>
      </c>
      <c r="G55" s="43"/>
      <c r="H55" s="43"/>
      <c r="I55" s="44">
        <f t="shared" si="0"/>
        <v>100</v>
      </c>
      <c r="J55" s="43" t="s">
        <v>121</v>
      </c>
      <c r="K55" s="43" t="s">
        <v>121</v>
      </c>
      <c r="L55" s="43" t="s">
        <v>121</v>
      </c>
      <c r="M55" s="43">
        <v>100</v>
      </c>
      <c r="N55" s="43"/>
      <c r="O55" s="44">
        <f t="shared" si="1"/>
        <v>100</v>
      </c>
      <c r="P55" s="43">
        <v>100</v>
      </c>
      <c r="Q55" s="45">
        <f t="shared" si="2"/>
        <v>100</v>
      </c>
      <c r="R55" s="40">
        <f>VLOOKUP(Q55,TGQC!$X$1:$Y$990,2)</f>
        <v>1</v>
      </c>
      <c r="S55" s="40" t="str">
        <f>VLOOKUP(R55,TGQC!$H$1:$I$16,2,0)</f>
        <v>Passed</v>
      </c>
    </row>
    <row r="56" spans="1:19" x14ac:dyDescent="0.3">
      <c r="A56" s="40">
        <v>43</v>
      </c>
      <c r="B56" s="41" t="str">
        <f>'DATA ENTRY'!B68</f>
        <v>24-QC13435</v>
      </c>
      <c r="C56" s="42" t="str">
        <f>'DATA ENTRY'!C68</f>
        <v>YABUT, CARYSE AMARA UNTALAN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view="pageBreakPreview" topLeftCell="A45" zoomScale="145" zoomScaleNormal="145" zoomScaleSheetLayoutView="145" workbookViewId="0">
      <selection activeCell="C70" sqref="C70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x14ac:dyDescent="0.3">
      <c r="A4" s="76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19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90" t="s">
        <v>21</v>
      </c>
      <c r="R12" s="80" t="s">
        <v>20</v>
      </c>
      <c r="S12" s="80" t="s">
        <v>9</v>
      </c>
    </row>
    <row r="13" spans="1:19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91"/>
      <c r="R13" s="81"/>
      <c r="S13" s="81"/>
    </row>
    <row r="14" spans="1:19" x14ac:dyDescent="0.3">
      <c r="A14" s="40">
        <v>1</v>
      </c>
      <c r="B14" s="41" t="str">
        <f>'DATA ENTRY'!B26</f>
        <v>24-QC13447</v>
      </c>
      <c r="C14" s="42" t="str">
        <f>'DATA ENTRY'!C26</f>
        <v>ACOB, TRIXIE JUNIO</v>
      </c>
      <c r="D14" s="43"/>
      <c r="E14" s="43">
        <v>85</v>
      </c>
      <c r="F14" s="43"/>
      <c r="G14" s="43"/>
      <c r="H14" s="43"/>
      <c r="I14" s="44">
        <f>IFERROR(AVERAGE(D14:H14),"0")</f>
        <v>85</v>
      </c>
      <c r="J14" s="43" t="s">
        <v>121</v>
      </c>
      <c r="K14" s="43" t="s">
        <v>121</v>
      </c>
      <c r="L14" s="43" t="s">
        <v>121</v>
      </c>
      <c r="M14" s="43">
        <v>90</v>
      </c>
      <c r="N14" s="43"/>
      <c r="O14" s="44">
        <f>IFERROR(AVERAGE(J14:N14),"0")</f>
        <v>90</v>
      </c>
      <c r="P14" s="43">
        <v>90</v>
      </c>
      <c r="Q14" s="45">
        <f>SUM(I14,O14,P14)/3</f>
        <v>88.333333333333329</v>
      </c>
      <c r="R14" s="40">
        <f>VLOOKUP(Q14,TGQC!$X$1:$Y$990,2)</f>
        <v>2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24-QC12756</v>
      </c>
      <c r="C15" s="42" t="str">
        <f>'DATA ENTRY'!C27</f>
        <v>ACOSTA, DANNMICHAEL DULLA</v>
      </c>
      <c r="D15" s="43"/>
      <c r="E15" s="43">
        <v>85</v>
      </c>
      <c r="F15" s="43"/>
      <c r="G15" s="43"/>
      <c r="H15" s="43"/>
      <c r="I15" s="44">
        <f t="shared" ref="I15:I78" si="0">IFERROR(AVERAGE(D15:H15),"0")</f>
        <v>85</v>
      </c>
      <c r="J15" s="43" t="s">
        <v>121</v>
      </c>
      <c r="K15" s="43" t="s">
        <v>121</v>
      </c>
      <c r="L15" s="43" t="s">
        <v>121</v>
      </c>
      <c r="M15" s="43">
        <v>80</v>
      </c>
      <c r="N15" s="43"/>
      <c r="O15" s="44">
        <f t="shared" ref="O15:O78" si="1">IFERROR(AVERAGE(J15:N15),"0")</f>
        <v>80</v>
      </c>
      <c r="P15" s="43">
        <v>80</v>
      </c>
      <c r="Q15" s="45">
        <f t="shared" ref="Q15:Q78" si="2">SUM(I15,O15,P15)/3</f>
        <v>81.666666666666671</v>
      </c>
      <c r="R15" s="40">
        <f>VLOOKUP(Q15,TGQC!$X$1:$Y$990,2)</f>
        <v>2.5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24-QC12714</v>
      </c>
      <c r="C16" s="42" t="str">
        <f>'DATA ENTRY'!C28</f>
        <v>AGUILAR, KIMBERLY ASHLEY CALUMPIT</v>
      </c>
      <c r="D16" s="43"/>
      <c r="E16" s="43">
        <v>94</v>
      </c>
      <c r="F16" s="43"/>
      <c r="G16" s="43"/>
      <c r="H16" s="43"/>
      <c r="I16" s="44">
        <f t="shared" si="0"/>
        <v>94</v>
      </c>
      <c r="J16" s="43" t="s">
        <v>121</v>
      </c>
      <c r="K16" s="43" t="s">
        <v>121</v>
      </c>
      <c r="L16" s="43" t="s">
        <v>121</v>
      </c>
      <c r="M16" s="43">
        <v>100</v>
      </c>
      <c r="N16" s="43"/>
      <c r="O16" s="44">
        <f t="shared" si="1"/>
        <v>100</v>
      </c>
      <c r="P16" s="43">
        <v>100</v>
      </c>
      <c r="Q16" s="45">
        <f t="shared" si="2"/>
        <v>98</v>
      </c>
      <c r="R16" s="40">
        <f>VLOOKUP(Q16,TGQC!$X$1:$Y$990,2)</f>
        <v>1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24-QC13807</v>
      </c>
      <c r="C17" s="42" t="str">
        <f>'DATA ENTRY'!C29</f>
        <v>ARANDIA, JOHN PAUL TAGULAO</v>
      </c>
      <c r="D17" s="43"/>
      <c r="E17" s="43">
        <v>90</v>
      </c>
      <c r="F17" s="43"/>
      <c r="G17" s="43"/>
      <c r="H17" s="43"/>
      <c r="I17" s="44">
        <f t="shared" si="0"/>
        <v>90</v>
      </c>
      <c r="J17" s="43" t="s">
        <v>121</v>
      </c>
      <c r="K17" s="43" t="s">
        <v>121</v>
      </c>
      <c r="L17" s="43" t="s">
        <v>121</v>
      </c>
      <c r="M17" s="43">
        <v>90</v>
      </c>
      <c r="N17" s="43"/>
      <c r="O17" s="44">
        <f t="shared" si="1"/>
        <v>90</v>
      </c>
      <c r="P17" s="43">
        <v>90</v>
      </c>
      <c r="Q17" s="45">
        <f t="shared" si="2"/>
        <v>90</v>
      </c>
      <c r="R17" s="40">
        <f>VLOOKUP(Q17,TGQC!$X$1:$Y$990,2)</f>
        <v>1.75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24-QC13547</v>
      </c>
      <c r="C18" s="42" t="str">
        <f>'DATA ENTRY'!C30</f>
        <v>AROCHA, NESHANEL</v>
      </c>
      <c r="D18" s="43"/>
      <c r="E18" s="43">
        <v>80</v>
      </c>
      <c r="F18" s="43"/>
      <c r="G18" s="43"/>
      <c r="H18" s="43"/>
      <c r="I18" s="44">
        <f t="shared" si="0"/>
        <v>80</v>
      </c>
      <c r="J18" s="43" t="s">
        <v>121</v>
      </c>
      <c r="K18" s="43" t="s">
        <v>122</v>
      </c>
      <c r="L18" s="43" t="s">
        <v>121</v>
      </c>
      <c r="M18" s="43">
        <v>80</v>
      </c>
      <c r="N18" s="43"/>
      <c r="O18" s="44">
        <f t="shared" si="1"/>
        <v>80</v>
      </c>
      <c r="P18" s="43">
        <v>80</v>
      </c>
      <c r="Q18" s="45">
        <f t="shared" si="2"/>
        <v>80</v>
      </c>
      <c r="R18" s="40">
        <f>VLOOKUP(Q18,TGQC!$X$1:$Y$990,2)</f>
        <v>2.5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24-QC13905</v>
      </c>
      <c r="C19" s="42" t="str">
        <f>'DATA ENTRY'!C31</f>
        <v>ARRIOLA, GABRIEL PEHID</v>
      </c>
      <c r="D19" s="43"/>
      <c r="E19" s="43">
        <v>90</v>
      </c>
      <c r="F19" s="43"/>
      <c r="G19" s="43"/>
      <c r="H19" s="43"/>
      <c r="I19" s="44">
        <f t="shared" si="0"/>
        <v>90</v>
      </c>
      <c r="J19" s="43" t="s">
        <v>121</v>
      </c>
      <c r="K19" s="43" t="s">
        <v>121</v>
      </c>
      <c r="L19" s="43" t="s">
        <v>122</v>
      </c>
      <c r="M19" s="43">
        <v>100</v>
      </c>
      <c r="N19" s="43"/>
      <c r="O19" s="44">
        <f t="shared" si="1"/>
        <v>100</v>
      </c>
      <c r="P19" s="43">
        <v>100</v>
      </c>
      <c r="Q19" s="45">
        <f t="shared" si="2"/>
        <v>96.666666666666671</v>
      </c>
      <c r="R19" s="40">
        <f>VLOOKUP(Q19,TGQC!$X$1:$Y$990,2)</f>
        <v>1.25</v>
      </c>
      <c r="S19" s="40" t="str">
        <f>VLOOKUP(R19,TGQC!$H$1:$I$16,2,0)</f>
        <v>Passed</v>
      </c>
    </row>
    <row r="20" spans="1:19" x14ac:dyDescent="0.3">
      <c r="A20" s="40">
        <v>7</v>
      </c>
      <c r="B20" s="41" t="str">
        <f>'DATA ENTRY'!B32</f>
        <v>23-QC03433</v>
      </c>
      <c r="C20" s="42" t="str">
        <f>'DATA ENTRY'!C32</f>
        <v>AVILES, ANTONIO TITOY</v>
      </c>
      <c r="D20" s="43"/>
      <c r="E20" s="43">
        <v>85</v>
      </c>
      <c r="F20" s="43"/>
      <c r="G20" s="43"/>
      <c r="H20" s="43"/>
      <c r="I20" s="44">
        <f t="shared" si="0"/>
        <v>85</v>
      </c>
      <c r="J20" s="43" t="s">
        <v>122</v>
      </c>
      <c r="K20" s="43" t="s">
        <v>121</v>
      </c>
      <c r="L20" s="43" t="s">
        <v>122</v>
      </c>
      <c r="M20" s="43">
        <v>100</v>
      </c>
      <c r="N20" s="43"/>
      <c r="O20" s="44">
        <f t="shared" si="1"/>
        <v>100</v>
      </c>
      <c r="P20" s="43">
        <v>100</v>
      </c>
      <c r="Q20" s="45">
        <f t="shared" si="2"/>
        <v>95</v>
      </c>
      <c r="R20" s="40">
        <f>VLOOKUP(Q20,TGQC!$X$1:$Y$990,2)</f>
        <v>1.25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24-QC12867</v>
      </c>
      <c r="C21" s="42" t="str">
        <f>'DATA ENTRY'!C33</f>
        <v>BASILIO, CHARLES PLURAL</v>
      </c>
      <c r="D21" s="43"/>
      <c r="E21" s="43">
        <v>94</v>
      </c>
      <c r="F21" s="43"/>
      <c r="G21" s="43"/>
      <c r="H21" s="43"/>
      <c r="I21" s="44">
        <f t="shared" si="0"/>
        <v>94</v>
      </c>
      <c r="J21" s="43" t="s">
        <v>121</v>
      </c>
      <c r="K21" s="43" t="s">
        <v>121</v>
      </c>
      <c r="L21" s="43" t="s">
        <v>121</v>
      </c>
      <c r="M21" s="43">
        <v>100</v>
      </c>
      <c r="N21" s="43"/>
      <c r="O21" s="44">
        <f t="shared" si="1"/>
        <v>100</v>
      </c>
      <c r="P21" s="43">
        <v>100</v>
      </c>
      <c r="Q21" s="45">
        <f t="shared" si="2"/>
        <v>98</v>
      </c>
      <c r="R21" s="40">
        <f>VLOOKUP(Q21,TGQC!$X$1:$Y$990,2)</f>
        <v>1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24-QC14612</v>
      </c>
      <c r="C22" s="42" t="str">
        <f>'DATA ENTRY'!C34</f>
        <v>BRINGINO, RALPH REGOR</v>
      </c>
      <c r="D22" s="43"/>
      <c r="E22" s="43">
        <v>80</v>
      </c>
      <c r="F22" s="43"/>
      <c r="G22" s="43"/>
      <c r="H22" s="43"/>
      <c r="I22" s="44">
        <f t="shared" si="0"/>
        <v>80</v>
      </c>
      <c r="J22" s="43" t="s">
        <v>121</v>
      </c>
      <c r="K22" s="43" t="s">
        <v>121</v>
      </c>
      <c r="L22" s="43" t="s">
        <v>122</v>
      </c>
      <c r="M22" s="43">
        <v>100</v>
      </c>
      <c r="N22" s="43"/>
      <c r="O22" s="44">
        <f t="shared" si="1"/>
        <v>100</v>
      </c>
      <c r="P22" s="43">
        <v>100</v>
      </c>
      <c r="Q22" s="45">
        <f t="shared" si="2"/>
        <v>93.333333333333329</v>
      </c>
      <c r="R22" s="40">
        <f>VLOOKUP(Q22,TGQC!$X$1:$Y$990,2)</f>
        <v>1.5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24-QC13948</v>
      </c>
      <c r="C23" s="42" t="str">
        <f>'DATA ENTRY'!C35</f>
        <v>CABRERA, CHARLES IAN</v>
      </c>
      <c r="D23" s="43"/>
      <c r="E23" s="43">
        <v>90</v>
      </c>
      <c r="F23" s="43"/>
      <c r="G23" s="43"/>
      <c r="H23" s="43"/>
      <c r="I23" s="44">
        <f t="shared" si="0"/>
        <v>90</v>
      </c>
      <c r="J23" s="43" t="s">
        <v>121</v>
      </c>
      <c r="K23" s="43" t="s">
        <v>121</v>
      </c>
      <c r="L23" s="43" t="s">
        <v>121</v>
      </c>
      <c r="M23" s="43">
        <v>100</v>
      </c>
      <c r="N23" s="43"/>
      <c r="O23" s="44">
        <f t="shared" si="1"/>
        <v>100</v>
      </c>
      <c r="P23" s="43">
        <v>100</v>
      </c>
      <c r="Q23" s="45">
        <f t="shared" si="2"/>
        <v>96.666666666666671</v>
      </c>
      <c r="R23" s="40">
        <f>VLOOKUP(Q23,TGQC!$X$1:$Y$990,2)</f>
        <v>1.25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24-QC13477</v>
      </c>
      <c r="C24" s="42" t="str">
        <f>'DATA ENTRY'!C36</f>
        <v>CAMPOS, RYAN MIGUEL PACAYRA</v>
      </c>
      <c r="D24" s="43"/>
      <c r="E24" s="43">
        <v>60</v>
      </c>
      <c r="F24" s="43"/>
      <c r="G24" s="43"/>
      <c r="H24" s="43"/>
      <c r="I24" s="44">
        <f t="shared" si="0"/>
        <v>60</v>
      </c>
      <c r="J24" s="43" t="s">
        <v>121</v>
      </c>
      <c r="K24" s="43" t="s">
        <v>121</v>
      </c>
      <c r="L24" s="43" t="s">
        <v>122</v>
      </c>
      <c r="M24" s="43">
        <v>60</v>
      </c>
      <c r="N24" s="43"/>
      <c r="O24" s="44">
        <f t="shared" si="1"/>
        <v>60</v>
      </c>
      <c r="P24" s="43">
        <v>60</v>
      </c>
      <c r="Q24" s="45">
        <f t="shared" si="2"/>
        <v>60</v>
      </c>
      <c r="R24" s="40">
        <f>VLOOKUP(Q24,TGQC!$X$1:$Y$990,2)</f>
        <v>5</v>
      </c>
      <c r="S24" s="40" t="str">
        <f>VLOOKUP(R24,TGQC!$H$1:$I$16,2,0)</f>
        <v>Failed</v>
      </c>
    </row>
    <row r="25" spans="1:19" x14ac:dyDescent="0.3">
      <c r="A25" s="40">
        <v>12</v>
      </c>
      <c r="B25" s="41" t="str">
        <f>'DATA ENTRY'!B37</f>
        <v>24-QC14613</v>
      </c>
      <c r="C25" s="42" t="str">
        <f>'DATA ENTRY'!C37</f>
        <v>CASTILLO, LOUIS ANGELO CRAME</v>
      </c>
      <c r="D25" s="43"/>
      <c r="E25" s="43">
        <v>94</v>
      </c>
      <c r="F25" s="43"/>
      <c r="G25" s="43"/>
      <c r="H25" s="43"/>
      <c r="I25" s="44">
        <f t="shared" si="0"/>
        <v>94</v>
      </c>
      <c r="J25" s="43" t="s">
        <v>121</v>
      </c>
      <c r="K25" s="43" t="s">
        <v>121</v>
      </c>
      <c r="L25" s="43" t="s">
        <v>121</v>
      </c>
      <c r="M25" s="43">
        <v>90</v>
      </c>
      <c r="N25" s="43"/>
      <c r="O25" s="44">
        <f t="shared" si="1"/>
        <v>90</v>
      </c>
      <c r="P25" s="43">
        <v>90</v>
      </c>
      <c r="Q25" s="45">
        <f t="shared" si="2"/>
        <v>91.333333333333329</v>
      </c>
      <c r="R25" s="40">
        <f>VLOOKUP(Q25,TGQC!$X$1:$Y$990,2)</f>
        <v>1.75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24-QC12893</v>
      </c>
      <c r="C26" s="42" t="str">
        <f>'DATA ENTRY'!C38</f>
        <v>CREMAN, DIESSA MAE ANGELES</v>
      </c>
      <c r="D26" s="43"/>
      <c r="E26" s="43">
        <v>94</v>
      </c>
      <c r="F26" s="43"/>
      <c r="G26" s="43"/>
      <c r="H26" s="43"/>
      <c r="I26" s="44">
        <f t="shared" si="0"/>
        <v>94</v>
      </c>
      <c r="J26" s="43" t="s">
        <v>121</v>
      </c>
      <c r="K26" s="43" t="s">
        <v>122</v>
      </c>
      <c r="L26" s="43" t="s">
        <v>122</v>
      </c>
      <c r="M26" s="43">
        <v>100</v>
      </c>
      <c r="N26" s="43"/>
      <c r="O26" s="44">
        <f t="shared" si="1"/>
        <v>100</v>
      </c>
      <c r="P26" s="43">
        <v>100</v>
      </c>
      <c r="Q26" s="45">
        <f t="shared" si="2"/>
        <v>98</v>
      </c>
      <c r="R26" s="40">
        <f>VLOOKUP(Q26,TGQC!$X$1:$Y$990,2)</f>
        <v>1</v>
      </c>
      <c r="S26" s="40" t="str">
        <f>VLOOKUP(R26,TGQC!$H$1:$I$16,2,0)</f>
        <v>Passed</v>
      </c>
    </row>
    <row r="27" spans="1:19" x14ac:dyDescent="0.3">
      <c r="A27" s="40">
        <v>14</v>
      </c>
      <c r="B27" s="41" t="str">
        <f>'DATA ENTRY'!B39</f>
        <v>24-QC13705</v>
      </c>
      <c r="C27" s="42" t="str">
        <f>'DATA ENTRY'!C39</f>
        <v>DAYRIT, KRIS ZILDJAN REI BANZON</v>
      </c>
      <c r="D27" s="43"/>
      <c r="E27" s="43">
        <v>88</v>
      </c>
      <c r="F27" s="43"/>
      <c r="G27" s="43"/>
      <c r="H27" s="43"/>
      <c r="I27" s="44">
        <f t="shared" si="0"/>
        <v>88</v>
      </c>
      <c r="J27" s="43" t="s">
        <v>121</v>
      </c>
      <c r="K27" s="43" t="s">
        <v>121</v>
      </c>
      <c r="L27" s="43" t="s">
        <v>121</v>
      </c>
      <c r="M27" s="43">
        <v>75</v>
      </c>
      <c r="N27" s="43"/>
      <c r="O27" s="44">
        <f t="shared" si="1"/>
        <v>75</v>
      </c>
      <c r="P27" s="43">
        <v>75</v>
      </c>
      <c r="Q27" s="45">
        <f t="shared" si="2"/>
        <v>79.333333333333329</v>
      </c>
      <c r="R27" s="40">
        <f>VLOOKUP(Q27,TGQC!$X$1:$Y$990,2)</f>
        <v>2.75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24-QC12852</v>
      </c>
      <c r="C28" s="42" t="str">
        <f>'DATA ENTRY'!C40</f>
        <v>DE BELEN, JASHLEY ANN ADORA</v>
      </c>
      <c r="D28" s="43"/>
      <c r="E28" s="43">
        <v>94</v>
      </c>
      <c r="F28" s="43"/>
      <c r="G28" s="43"/>
      <c r="H28" s="43"/>
      <c r="I28" s="44">
        <f t="shared" si="0"/>
        <v>94</v>
      </c>
      <c r="J28" s="43" t="s">
        <v>121</v>
      </c>
      <c r="K28" s="43" t="s">
        <v>121</v>
      </c>
      <c r="L28" s="43" t="s">
        <v>121</v>
      </c>
      <c r="M28" s="43">
        <v>100</v>
      </c>
      <c r="N28" s="43"/>
      <c r="O28" s="44">
        <f t="shared" si="1"/>
        <v>100</v>
      </c>
      <c r="P28" s="43">
        <v>100</v>
      </c>
      <c r="Q28" s="45">
        <f t="shared" si="2"/>
        <v>98</v>
      </c>
      <c r="R28" s="40">
        <f>VLOOKUP(Q28,TGQC!$X$1:$Y$990,2)</f>
        <v>1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24-QC13048</v>
      </c>
      <c r="C29" s="42" t="str">
        <f>'DATA ENTRY'!C41</f>
        <v>DEL PILAR, MARK JAYSON ESGUERRA</v>
      </c>
      <c r="D29" s="43"/>
      <c r="E29" s="43">
        <v>95</v>
      </c>
      <c r="F29" s="43"/>
      <c r="G29" s="43"/>
      <c r="H29" s="43"/>
      <c r="I29" s="44">
        <f t="shared" si="0"/>
        <v>95</v>
      </c>
      <c r="J29" s="43" t="s">
        <v>121</v>
      </c>
      <c r="K29" s="43" t="s">
        <v>121</v>
      </c>
      <c r="L29" s="43" t="s">
        <v>121</v>
      </c>
      <c r="M29" s="43">
        <v>100</v>
      </c>
      <c r="N29" s="43"/>
      <c r="O29" s="44">
        <f t="shared" si="1"/>
        <v>100</v>
      </c>
      <c r="P29" s="43">
        <v>100</v>
      </c>
      <c r="Q29" s="45">
        <f t="shared" si="2"/>
        <v>98.333333333333329</v>
      </c>
      <c r="R29" s="40">
        <f>VLOOKUP(Q29,TGQC!$X$1:$Y$990,2)</f>
        <v>1</v>
      </c>
      <c r="S29" s="40" t="str">
        <f>VLOOKUP(R29,TGQC!$H$1:$I$16,2,0)</f>
        <v>Passed</v>
      </c>
    </row>
    <row r="30" spans="1:19" x14ac:dyDescent="0.3">
      <c r="A30" s="40">
        <v>17</v>
      </c>
      <c r="B30" s="41" t="str">
        <f>'DATA ENTRY'!B42</f>
        <v>24-QC13213</v>
      </c>
      <c r="C30" s="42" t="str">
        <f>'DATA ENTRY'!C42</f>
        <v>ENGUAS, JEFFERSON ETONG</v>
      </c>
      <c r="D30" s="43"/>
      <c r="E30" s="43">
        <v>95</v>
      </c>
      <c r="F30" s="43"/>
      <c r="G30" s="43"/>
      <c r="H30" s="43"/>
      <c r="I30" s="44">
        <f t="shared" si="0"/>
        <v>95</v>
      </c>
      <c r="J30" s="43" t="s">
        <v>121</v>
      </c>
      <c r="K30" s="43" t="s">
        <v>121</v>
      </c>
      <c r="L30" s="43" t="s">
        <v>121</v>
      </c>
      <c r="M30" s="43">
        <v>100</v>
      </c>
      <c r="N30" s="43"/>
      <c r="O30" s="44">
        <f t="shared" si="1"/>
        <v>100</v>
      </c>
      <c r="P30" s="43">
        <v>100</v>
      </c>
      <c r="Q30" s="45">
        <f t="shared" si="2"/>
        <v>98.333333333333329</v>
      </c>
      <c r="R30" s="40">
        <f>VLOOKUP(Q30,TGQC!$X$1:$Y$990,2)</f>
        <v>1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24-QC13789</v>
      </c>
      <c r="C31" s="42" t="str">
        <f>'DATA ENTRY'!C43</f>
        <v>ESTRADA, KENNETH ANDREI VINLUAN</v>
      </c>
      <c r="D31" s="43"/>
      <c r="E31" s="43">
        <v>90</v>
      </c>
      <c r="F31" s="43"/>
      <c r="G31" s="43"/>
      <c r="H31" s="43"/>
      <c r="I31" s="44">
        <f t="shared" si="0"/>
        <v>90</v>
      </c>
      <c r="J31" s="43" t="s">
        <v>122</v>
      </c>
      <c r="K31" s="43" t="s">
        <v>122</v>
      </c>
      <c r="L31" s="43" t="s">
        <v>122</v>
      </c>
      <c r="M31" s="43">
        <v>100</v>
      </c>
      <c r="N31" s="43"/>
      <c r="O31" s="44">
        <f t="shared" si="1"/>
        <v>100</v>
      </c>
      <c r="P31" s="43">
        <v>100</v>
      </c>
      <c r="Q31" s="45">
        <f t="shared" si="2"/>
        <v>96.666666666666671</v>
      </c>
      <c r="R31" s="40">
        <f>VLOOKUP(Q31,TGQC!$X$1:$Y$990,2)</f>
        <v>1.25</v>
      </c>
      <c r="S31" s="40" t="str">
        <f>VLOOKUP(R31,TGQC!$H$1:$I$16,2,0)</f>
        <v>Passed</v>
      </c>
    </row>
    <row r="32" spans="1:19" x14ac:dyDescent="0.3">
      <c r="A32" s="40">
        <v>19</v>
      </c>
      <c r="B32" s="41" t="str">
        <f>'DATA ENTRY'!B44</f>
        <v>24-QC13643</v>
      </c>
      <c r="C32" s="42" t="str">
        <f>'DATA ENTRY'!C44</f>
        <v>FRIANEZA, MITCH LORKAN TUTOP</v>
      </c>
      <c r="D32" s="43"/>
      <c r="E32" s="43">
        <v>75</v>
      </c>
      <c r="F32" s="43"/>
      <c r="G32" s="43"/>
      <c r="H32" s="43"/>
      <c r="I32" s="44">
        <f t="shared" si="0"/>
        <v>75</v>
      </c>
      <c r="J32" s="43" t="s">
        <v>121</v>
      </c>
      <c r="K32" s="43" t="s">
        <v>121</v>
      </c>
      <c r="L32" s="43" t="s">
        <v>121</v>
      </c>
      <c r="M32" s="43">
        <v>75</v>
      </c>
      <c r="N32" s="43"/>
      <c r="O32" s="44">
        <f t="shared" si="1"/>
        <v>75</v>
      </c>
      <c r="P32" s="43">
        <v>75</v>
      </c>
      <c r="Q32" s="45">
        <f t="shared" si="2"/>
        <v>75</v>
      </c>
      <c r="R32" s="40">
        <f>VLOOKUP(Q32,TGQC!$X$1:$Y$990,2)</f>
        <v>3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24-QC13741</v>
      </c>
      <c r="C33" s="42" t="str">
        <f>'DATA ENTRY'!C45</f>
        <v>GAERLAN, AXEL LOPEZ</v>
      </c>
      <c r="D33" s="43"/>
      <c r="E33" s="43">
        <v>85</v>
      </c>
      <c r="F33" s="43"/>
      <c r="G33" s="43"/>
      <c r="H33" s="43"/>
      <c r="I33" s="44">
        <f t="shared" si="0"/>
        <v>85</v>
      </c>
      <c r="J33" s="43" t="s">
        <v>122</v>
      </c>
      <c r="K33" s="43" t="s">
        <v>122</v>
      </c>
      <c r="L33" s="43" t="s">
        <v>121</v>
      </c>
      <c r="M33" s="43">
        <v>100</v>
      </c>
      <c r="N33" s="43"/>
      <c r="O33" s="44">
        <f t="shared" si="1"/>
        <v>100</v>
      </c>
      <c r="P33" s="43">
        <v>100</v>
      </c>
      <c r="Q33" s="45">
        <f t="shared" si="2"/>
        <v>95</v>
      </c>
      <c r="R33" s="40">
        <f>VLOOKUP(Q33,TGQC!$X$1:$Y$990,2)</f>
        <v>1.25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24-QC12340</v>
      </c>
      <c r="C34" s="42" t="str">
        <f>'DATA ENTRY'!C46</f>
        <v>GARCIA, JUSTIN CARBONQUILLO</v>
      </c>
      <c r="D34" s="43"/>
      <c r="E34" s="43">
        <v>90</v>
      </c>
      <c r="F34" s="43"/>
      <c r="G34" s="43"/>
      <c r="H34" s="43"/>
      <c r="I34" s="44">
        <f t="shared" si="0"/>
        <v>90</v>
      </c>
      <c r="J34" s="43" t="s">
        <v>121</v>
      </c>
      <c r="K34" s="43" t="s">
        <v>121</v>
      </c>
      <c r="L34" s="43" t="s">
        <v>121</v>
      </c>
      <c r="M34" s="43">
        <v>100</v>
      </c>
      <c r="N34" s="43"/>
      <c r="O34" s="44">
        <f t="shared" si="1"/>
        <v>100</v>
      </c>
      <c r="P34" s="43">
        <v>100</v>
      </c>
      <c r="Q34" s="45">
        <f t="shared" si="2"/>
        <v>96.666666666666671</v>
      </c>
      <c r="R34" s="40">
        <f>VLOOKUP(Q34,TGQC!$X$1:$Y$990,2)</f>
        <v>1.25</v>
      </c>
      <c r="S34" s="40" t="str">
        <f>VLOOKUP(R34,TGQC!$H$1:$I$16,2,0)</f>
        <v>Passed</v>
      </c>
    </row>
    <row r="35" spans="1:19" x14ac:dyDescent="0.3">
      <c r="A35" s="40">
        <v>22</v>
      </c>
      <c r="B35" s="41" t="str">
        <f>'DATA ENTRY'!B47</f>
        <v>24-QC12193</v>
      </c>
      <c r="C35" s="42" t="str">
        <f>'DATA ENTRY'!C47</f>
        <v>GROSPE, ARL JOHN GAMBOA</v>
      </c>
      <c r="D35" s="43"/>
      <c r="E35" s="43">
        <v>94</v>
      </c>
      <c r="F35" s="43"/>
      <c r="G35" s="43"/>
      <c r="H35" s="43"/>
      <c r="I35" s="44">
        <f t="shared" si="0"/>
        <v>94</v>
      </c>
      <c r="J35" s="43" t="s">
        <v>121</v>
      </c>
      <c r="K35" s="43" t="s">
        <v>121</v>
      </c>
      <c r="L35" s="43" t="s">
        <v>122</v>
      </c>
      <c r="M35" s="43">
        <v>100</v>
      </c>
      <c r="N35" s="43"/>
      <c r="O35" s="44">
        <f t="shared" si="1"/>
        <v>100</v>
      </c>
      <c r="P35" s="43">
        <v>100</v>
      </c>
      <c r="Q35" s="45">
        <f t="shared" si="2"/>
        <v>98</v>
      </c>
      <c r="R35" s="40">
        <f>VLOOKUP(Q35,TGQC!$X$1:$Y$990,2)</f>
        <v>1</v>
      </c>
      <c r="S35" s="40" t="str">
        <f>VLOOKUP(R35,TGQC!$H$1:$I$16,2,0)</f>
        <v>Passed</v>
      </c>
    </row>
    <row r="36" spans="1:19" x14ac:dyDescent="0.3">
      <c r="A36" s="40">
        <v>23</v>
      </c>
      <c r="B36" s="41" t="str">
        <f>'DATA ENTRY'!B48</f>
        <v>24-QC13448</v>
      </c>
      <c r="C36" s="42" t="str">
        <f>'DATA ENTRY'!C48</f>
        <v>JARINA, YUKI AUDREY DE GUZMAN</v>
      </c>
      <c r="D36" s="43"/>
      <c r="E36" s="43">
        <v>90</v>
      </c>
      <c r="F36" s="43"/>
      <c r="G36" s="43"/>
      <c r="H36" s="43"/>
      <c r="I36" s="44">
        <f t="shared" si="0"/>
        <v>90</v>
      </c>
      <c r="J36" s="43" t="s">
        <v>121</v>
      </c>
      <c r="K36" s="43" t="s">
        <v>121</v>
      </c>
      <c r="L36" s="43" t="s">
        <v>122</v>
      </c>
      <c r="M36" s="43">
        <v>90</v>
      </c>
      <c r="N36" s="43"/>
      <c r="O36" s="44">
        <f t="shared" si="1"/>
        <v>90</v>
      </c>
      <c r="P36" s="43">
        <v>90</v>
      </c>
      <c r="Q36" s="45">
        <f t="shared" si="2"/>
        <v>90</v>
      </c>
      <c r="R36" s="40">
        <f>VLOOKUP(Q36,TGQC!$X$1:$Y$990,2)</f>
        <v>1.75</v>
      </c>
      <c r="S36" s="40" t="str">
        <f>VLOOKUP(R36,TGQC!$H$1:$I$16,2,0)</f>
        <v>Passed</v>
      </c>
    </row>
    <row r="37" spans="1:19" x14ac:dyDescent="0.3">
      <c r="A37" s="40">
        <v>24</v>
      </c>
      <c r="B37" s="41" t="str">
        <f>'DATA ENTRY'!B49</f>
        <v>24-QC14896</v>
      </c>
      <c r="C37" s="42" t="str">
        <f>'DATA ENTRY'!C49</f>
        <v>JOAQUIN, JOHN NARRAH N/A</v>
      </c>
      <c r="D37" s="43"/>
      <c r="E37" s="43">
        <v>95</v>
      </c>
      <c r="F37" s="43"/>
      <c r="G37" s="43"/>
      <c r="H37" s="43"/>
      <c r="I37" s="44">
        <f t="shared" si="0"/>
        <v>95</v>
      </c>
      <c r="J37" s="43" t="s">
        <v>122</v>
      </c>
      <c r="K37" s="43" t="s">
        <v>122</v>
      </c>
      <c r="L37" s="43" t="s">
        <v>121</v>
      </c>
      <c r="M37" s="43">
        <v>100</v>
      </c>
      <c r="N37" s="43"/>
      <c r="O37" s="44">
        <f t="shared" si="1"/>
        <v>100</v>
      </c>
      <c r="P37" s="43">
        <v>100</v>
      </c>
      <c r="Q37" s="45">
        <f t="shared" si="2"/>
        <v>98.333333333333329</v>
      </c>
      <c r="R37" s="40">
        <f>VLOOKUP(Q37,TGQC!$X$1:$Y$990,2)</f>
        <v>1</v>
      </c>
      <c r="S37" s="40" t="str">
        <f>VLOOKUP(R37,TGQC!$H$1:$I$16,2,0)</f>
        <v>Passed</v>
      </c>
    </row>
    <row r="38" spans="1:19" x14ac:dyDescent="0.3">
      <c r="A38" s="40">
        <v>25</v>
      </c>
      <c r="B38" s="41" t="str">
        <f>'DATA ENTRY'!B50</f>
        <v>24-QC12817</v>
      </c>
      <c r="C38" s="42" t="str">
        <f>'DATA ENTRY'!C50</f>
        <v>LAGROSA, JARED JASPER BAYANI</v>
      </c>
      <c r="D38" s="43"/>
      <c r="E38" s="43">
        <v>90</v>
      </c>
      <c r="F38" s="43"/>
      <c r="G38" s="43"/>
      <c r="H38" s="43"/>
      <c r="I38" s="44">
        <f t="shared" si="0"/>
        <v>90</v>
      </c>
      <c r="J38" s="43" t="s">
        <v>121</v>
      </c>
      <c r="K38" s="43" t="s">
        <v>121</v>
      </c>
      <c r="L38" s="43" t="s">
        <v>122</v>
      </c>
      <c r="M38" s="43">
        <v>100</v>
      </c>
      <c r="N38" s="43"/>
      <c r="O38" s="44">
        <f t="shared" si="1"/>
        <v>100</v>
      </c>
      <c r="P38" s="43">
        <v>100</v>
      </c>
      <c r="Q38" s="45">
        <f t="shared" si="2"/>
        <v>96.666666666666671</v>
      </c>
      <c r="R38" s="40">
        <f>VLOOKUP(Q38,TGQC!$X$1:$Y$990,2)</f>
        <v>1.25</v>
      </c>
      <c r="S38" s="40" t="str">
        <f>VLOOKUP(R38,TGQC!$H$1:$I$16,2,0)</f>
        <v>Passed</v>
      </c>
    </row>
    <row r="39" spans="1:19" x14ac:dyDescent="0.3">
      <c r="A39" s="40">
        <v>26</v>
      </c>
      <c r="B39" s="41" t="str">
        <f>'DATA ENTRY'!B51</f>
        <v>24-QC14194</v>
      </c>
      <c r="C39" s="42" t="str">
        <f>'DATA ENTRY'!C51</f>
        <v>LIBATON, JASON BALBUENA</v>
      </c>
      <c r="D39" s="43"/>
      <c r="E39" s="43">
        <v>92</v>
      </c>
      <c r="F39" s="43"/>
      <c r="G39" s="43"/>
      <c r="H39" s="43"/>
      <c r="I39" s="44">
        <f t="shared" si="0"/>
        <v>92</v>
      </c>
      <c r="J39" s="43" t="s">
        <v>121</v>
      </c>
      <c r="K39" s="43" t="s">
        <v>121</v>
      </c>
      <c r="L39" s="43" t="s">
        <v>122</v>
      </c>
      <c r="M39" s="43">
        <v>100</v>
      </c>
      <c r="N39" s="43"/>
      <c r="O39" s="44">
        <f t="shared" si="1"/>
        <v>100</v>
      </c>
      <c r="P39" s="43">
        <v>100</v>
      </c>
      <c r="Q39" s="45">
        <f t="shared" si="2"/>
        <v>97.333333333333329</v>
      </c>
      <c r="R39" s="40">
        <f>VLOOKUP(Q39,TGQC!$X$1:$Y$990,2)</f>
        <v>1.25</v>
      </c>
      <c r="S39" s="40" t="str">
        <f>VLOOKUP(R39,TGQC!$H$1:$I$16,2,0)</f>
        <v>Passed</v>
      </c>
    </row>
    <row r="40" spans="1:19" x14ac:dyDescent="0.3">
      <c r="A40" s="40">
        <v>27</v>
      </c>
      <c r="B40" s="41" t="str">
        <f>'DATA ENTRY'!B52</f>
        <v>24-QC12290</v>
      </c>
      <c r="C40" s="42" t="str">
        <f>'DATA ENTRY'!C52</f>
        <v>MAGISTRADO, RADZ EMMAN ABRIS</v>
      </c>
      <c r="D40" s="43"/>
      <c r="E40" s="43">
        <v>80</v>
      </c>
      <c r="F40" s="43"/>
      <c r="G40" s="43"/>
      <c r="H40" s="43"/>
      <c r="I40" s="44">
        <f t="shared" si="0"/>
        <v>80</v>
      </c>
      <c r="J40" s="43" t="s">
        <v>122</v>
      </c>
      <c r="K40" s="43" t="s">
        <v>122</v>
      </c>
      <c r="L40" s="43" t="s">
        <v>122</v>
      </c>
      <c r="M40" s="43">
        <v>100</v>
      </c>
      <c r="N40" s="43"/>
      <c r="O40" s="44">
        <f t="shared" si="1"/>
        <v>100</v>
      </c>
      <c r="P40" s="43">
        <v>100</v>
      </c>
      <c r="Q40" s="45">
        <f t="shared" si="2"/>
        <v>93.333333333333329</v>
      </c>
      <c r="R40" s="40">
        <f>VLOOKUP(Q40,TGQC!$X$1:$Y$990,2)</f>
        <v>1.5</v>
      </c>
      <c r="S40" s="40" t="str">
        <f>VLOOKUP(R40,TGQC!$H$1:$I$16,2,0)</f>
        <v>Passed</v>
      </c>
    </row>
    <row r="41" spans="1:19" x14ac:dyDescent="0.3">
      <c r="A41" s="40">
        <v>28</v>
      </c>
      <c r="B41" s="41" t="str">
        <f>'DATA ENTRY'!B53</f>
        <v>24-QC13638</v>
      </c>
      <c r="C41" s="42" t="str">
        <f>'DATA ENTRY'!C53</f>
        <v>MAMACLAY, CHRISTIAN SUMAGAYSAY</v>
      </c>
      <c r="D41" s="43"/>
      <c r="E41" s="43">
        <v>90</v>
      </c>
      <c r="F41" s="43"/>
      <c r="G41" s="43"/>
      <c r="H41" s="43"/>
      <c r="I41" s="44">
        <f t="shared" si="0"/>
        <v>90</v>
      </c>
      <c r="J41" s="43" t="s">
        <v>121</v>
      </c>
      <c r="K41" s="43" t="s">
        <v>121</v>
      </c>
      <c r="L41" s="43" t="s">
        <v>206</v>
      </c>
      <c r="M41" s="43">
        <v>90</v>
      </c>
      <c r="N41" s="43"/>
      <c r="O41" s="44">
        <f t="shared" si="1"/>
        <v>90</v>
      </c>
      <c r="P41" s="43">
        <v>90</v>
      </c>
      <c r="Q41" s="45">
        <f t="shared" si="2"/>
        <v>90</v>
      </c>
      <c r="R41" s="40">
        <f>VLOOKUP(Q41,TGQC!$X$1:$Y$990,2)</f>
        <v>1.75</v>
      </c>
      <c r="S41" s="40" t="str">
        <f>VLOOKUP(R41,TGQC!$H$1:$I$16,2,0)</f>
        <v>Passed</v>
      </c>
    </row>
    <row r="42" spans="1:19" x14ac:dyDescent="0.3">
      <c r="A42" s="40">
        <v>29</v>
      </c>
      <c r="B42" s="41" t="str">
        <f>'DATA ENTRY'!B54</f>
        <v>24-QC13903</v>
      </c>
      <c r="C42" s="42" t="str">
        <f>'DATA ENTRY'!C54</f>
        <v>NAYON, JOHN CARL MACALACAD</v>
      </c>
      <c r="D42" s="43"/>
      <c r="E42" s="43">
        <v>80</v>
      </c>
      <c r="F42" s="43"/>
      <c r="G42" s="43"/>
      <c r="H42" s="43"/>
      <c r="I42" s="44">
        <f t="shared" si="0"/>
        <v>80</v>
      </c>
      <c r="J42" s="43" t="s">
        <v>121</v>
      </c>
      <c r="K42" s="43" t="s">
        <v>122</v>
      </c>
      <c r="L42" s="43" t="s">
        <v>121</v>
      </c>
      <c r="M42" s="43">
        <v>90</v>
      </c>
      <c r="N42" s="43"/>
      <c r="O42" s="44">
        <f t="shared" si="1"/>
        <v>90</v>
      </c>
      <c r="P42" s="43">
        <v>90</v>
      </c>
      <c r="Q42" s="45">
        <f t="shared" si="2"/>
        <v>86.666666666666671</v>
      </c>
      <c r="R42" s="40">
        <f>VLOOKUP(Q42,TGQC!$X$1:$Y$990,2)</f>
        <v>2</v>
      </c>
      <c r="S42" s="40" t="str">
        <f>VLOOKUP(R42,TGQC!$H$1:$I$16,2,0)</f>
        <v>Passed</v>
      </c>
    </row>
    <row r="43" spans="1:19" x14ac:dyDescent="0.3">
      <c r="A43" s="40">
        <v>30</v>
      </c>
      <c r="B43" s="41" t="str">
        <f>'DATA ENTRY'!B55</f>
        <v>24-QC12413</v>
      </c>
      <c r="C43" s="42" t="str">
        <f>'DATA ENTRY'!C55</f>
        <v>PACULANAN, MARK DANIEL AMBUYOC</v>
      </c>
      <c r="D43" s="43"/>
      <c r="E43" s="43">
        <v>80</v>
      </c>
      <c r="F43" s="43"/>
      <c r="G43" s="43"/>
      <c r="H43" s="43"/>
      <c r="I43" s="44">
        <f t="shared" si="0"/>
        <v>80</v>
      </c>
      <c r="J43" s="43" t="s">
        <v>121</v>
      </c>
      <c r="K43" s="43" t="s">
        <v>122</v>
      </c>
      <c r="L43" s="43" t="s">
        <v>121</v>
      </c>
      <c r="M43" s="43">
        <v>100</v>
      </c>
      <c r="N43" s="43"/>
      <c r="O43" s="44">
        <f t="shared" si="1"/>
        <v>100</v>
      </c>
      <c r="P43" s="43">
        <v>100</v>
      </c>
      <c r="Q43" s="45">
        <f t="shared" si="2"/>
        <v>93.333333333333329</v>
      </c>
      <c r="R43" s="40">
        <f>VLOOKUP(Q43,TGQC!$X$1:$Y$990,2)</f>
        <v>1.5</v>
      </c>
      <c r="S43" s="40" t="str">
        <f>VLOOKUP(R43,TGQC!$H$1:$I$16,2,0)</f>
        <v>Passed</v>
      </c>
    </row>
    <row r="44" spans="1:19" x14ac:dyDescent="0.3">
      <c r="A44" s="40">
        <v>31</v>
      </c>
      <c r="B44" s="41" t="str">
        <f>'DATA ENTRY'!B56</f>
        <v>24-QC12733</v>
      </c>
      <c r="C44" s="42" t="str">
        <f>'DATA ENTRY'!C56</f>
        <v>PALANGDAO, CRISTAN JOSS LIMOS</v>
      </c>
      <c r="D44" s="43"/>
      <c r="E44" s="43">
        <v>85</v>
      </c>
      <c r="F44" s="43"/>
      <c r="G44" s="43"/>
      <c r="H44" s="43"/>
      <c r="I44" s="44">
        <f t="shared" si="0"/>
        <v>85</v>
      </c>
      <c r="J44" s="43" t="s">
        <v>121</v>
      </c>
      <c r="K44" s="43" t="s">
        <v>121</v>
      </c>
      <c r="L44" s="43" t="s">
        <v>121</v>
      </c>
      <c r="M44" s="43">
        <v>100</v>
      </c>
      <c r="N44" s="43"/>
      <c r="O44" s="44">
        <f t="shared" si="1"/>
        <v>100</v>
      </c>
      <c r="P44" s="43">
        <v>100</v>
      </c>
      <c r="Q44" s="45">
        <f t="shared" si="2"/>
        <v>95</v>
      </c>
      <c r="R44" s="40">
        <f>VLOOKUP(Q44,TGQC!$X$1:$Y$990,2)</f>
        <v>1.25</v>
      </c>
      <c r="S44" s="40" t="str">
        <f>VLOOKUP(R44,TGQC!$H$1:$I$16,2,0)</f>
        <v>Passed</v>
      </c>
    </row>
    <row r="45" spans="1:19" x14ac:dyDescent="0.3">
      <c r="A45" s="40">
        <v>32</v>
      </c>
      <c r="B45" s="41" t="str">
        <f>'DATA ENTRY'!B57</f>
        <v>24-QC13852</v>
      </c>
      <c r="C45" s="42" t="str">
        <f>'DATA ENTRY'!C57</f>
        <v>PAULAR, BENEDICT JOHN GONZALES</v>
      </c>
      <c r="D45" s="43"/>
      <c r="E45" s="43">
        <v>95</v>
      </c>
      <c r="F45" s="43"/>
      <c r="G45" s="43"/>
      <c r="H45" s="43"/>
      <c r="I45" s="44">
        <f t="shared" si="0"/>
        <v>95</v>
      </c>
      <c r="J45" s="43" t="s">
        <v>121</v>
      </c>
      <c r="K45" s="43" t="s">
        <v>121</v>
      </c>
      <c r="L45" s="43" t="s">
        <v>121</v>
      </c>
      <c r="M45" s="43">
        <v>100</v>
      </c>
      <c r="N45" s="43"/>
      <c r="O45" s="44">
        <f t="shared" si="1"/>
        <v>100</v>
      </c>
      <c r="P45" s="43">
        <v>100</v>
      </c>
      <c r="Q45" s="45">
        <f t="shared" si="2"/>
        <v>98.333333333333329</v>
      </c>
      <c r="R45" s="40">
        <f>VLOOKUP(Q45,TGQC!$X$1:$Y$990,2)</f>
        <v>1</v>
      </c>
      <c r="S45" s="40" t="str">
        <f>VLOOKUP(R45,TGQC!$H$1:$I$16,2,0)</f>
        <v>Passed</v>
      </c>
    </row>
    <row r="46" spans="1:19" x14ac:dyDescent="0.3">
      <c r="A46" s="40">
        <v>33</v>
      </c>
      <c r="B46" s="41" t="str">
        <f>'DATA ENTRY'!B58</f>
        <v>24-QC14065</v>
      </c>
      <c r="C46" s="42" t="str">
        <f>'DATA ENTRY'!C58</f>
        <v>PEÑA, CEJAY CELLO</v>
      </c>
      <c r="D46" s="43"/>
      <c r="E46" s="43">
        <v>85</v>
      </c>
      <c r="F46" s="43"/>
      <c r="G46" s="43"/>
      <c r="H46" s="43"/>
      <c r="I46" s="44">
        <f t="shared" si="0"/>
        <v>85</v>
      </c>
      <c r="J46" s="43" t="s">
        <v>121</v>
      </c>
      <c r="K46" s="43" t="s">
        <v>121</v>
      </c>
      <c r="L46" s="43" t="s">
        <v>121</v>
      </c>
      <c r="M46" s="43">
        <v>75</v>
      </c>
      <c r="N46" s="43"/>
      <c r="O46" s="44">
        <f t="shared" si="1"/>
        <v>75</v>
      </c>
      <c r="P46" s="43">
        <v>75</v>
      </c>
      <c r="Q46" s="45">
        <f t="shared" si="2"/>
        <v>78.333333333333329</v>
      </c>
      <c r="R46" s="40">
        <f>VLOOKUP(Q46,TGQC!$X$1:$Y$990,2)</f>
        <v>2.75</v>
      </c>
      <c r="S46" s="40" t="str">
        <f>VLOOKUP(R46,TGQC!$H$1:$I$16,2,0)</f>
        <v>Passed</v>
      </c>
    </row>
    <row r="47" spans="1:19" x14ac:dyDescent="0.3">
      <c r="A47" s="40">
        <v>34</v>
      </c>
      <c r="B47" s="41" t="str">
        <f>'DATA ENTRY'!B59</f>
        <v>24-QC12125</v>
      </c>
      <c r="C47" s="42" t="str">
        <f>'DATA ENTRY'!C59</f>
        <v>PURISIMA, KRISHA ANN BUCO</v>
      </c>
      <c r="D47" s="43"/>
      <c r="E47" s="43">
        <v>90</v>
      </c>
      <c r="F47" s="43"/>
      <c r="G47" s="43"/>
      <c r="H47" s="43"/>
      <c r="I47" s="44">
        <f t="shared" si="0"/>
        <v>90</v>
      </c>
      <c r="J47" s="43" t="s">
        <v>121</v>
      </c>
      <c r="K47" s="43" t="s">
        <v>121</v>
      </c>
      <c r="L47" s="43" t="s">
        <v>121</v>
      </c>
      <c r="M47" s="43">
        <v>100</v>
      </c>
      <c r="N47" s="43"/>
      <c r="O47" s="44">
        <f t="shared" si="1"/>
        <v>100</v>
      </c>
      <c r="P47" s="43">
        <v>100</v>
      </c>
      <c r="Q47" s="45">
        <f t="shared" si="2"/>
        <v>96.666666666666671</v>
      </c>
      <c r="R47" s="40">
        <f>VLOOKUP(Q47,TGQC!$X$1:$Y$990,2)</f>
        <v>1.25</v>
      </c>
      <c r="S47" s="40" t="str">
        <f>VLOOKUP(R47,TGQC!$H$1:$I$16,2,0)</f>
        <v>Passed</v>
      </c>
    </row>
    <row r="48" spans="1:19" x14ac:dyDescent="0.3">
      <c r="A48" s="40">
        <v>35</v>
      </c>
      <c r="B48" s="41" t="str">
        <f>'DATA ENTRY'!B60</f>
        <v>24-QC12818</v>
      </c>
      <c r="C48" s="42" t="str">
        <f>'DATA ENTRY'!C60</f>
        <v>SESE, GERALDINO CARIÑO JR</v>
      </c>
      <c r="D48" s="43"/>
      <c r="E48" s="43">
        <v>90</v>
      </c>
      <c r="F48" s="43"/>
      <c r="G48" s="43"/>
      <c r="H48" s="43"/>
      <c r="I48" s="44">
        <f t="shared" si="0"/>
        <v>90</v>
      </c>
      <c r="J48" s="43" t="s">
        <v>121</v>
      </c>
      <c r="K48" s="43" t="s">
        <v>121</v>
      </c>
      <c r="L48" s="43" t="s">
        <v>122</v>
      </c>
      <c r="M48" s="43">
        <v>80</v>
      </c>
      <c r="N48" s="43"/>
      <c r="O48" s="44">
        <f t="shared" si="1"/>
        <v>80</v>
      </c>
      <c r="P48" s="43">
        <v>80</v>
      </c>
      <c r="Q48" s="45">
        <f t="shared" si="2"/>
        <v>83.333333333333329</v>
      </c>
      <c r="R48" s="40">
        <f>VLOOKUP(Q48,TGQC!$X$1:$Y$990,2)</f>
        <v>2.25</v>
      </c>
      <c r="S48" s="40" t="str">
        <f>VLOOKUP(R48,TGQC!$H$1:$I$16,2,0)</f>
        <v>Passed</v>
      </c>
    </row>
    <row r="49" spans="1:19" x14ac:dyDescent="0.3">
      <c r="A49" s="40">
        <v>36</v>
      </c>
      <c r="B49" s="41" t="str">
        <f>'DATA ENTRY'!B61</f>
        <v>24-QC13100</v>
      </c>
      <c r="C49" s="42" t="str">
        <f>'DATA ENTRY'!C61</f>
        <v>SUBIDA, THERESE ANGELI CASTRO</v>
      </c>
      <c r="D49" s="43"/>
      <c r="E49" s="43">
        <v>92</v>
      </c>
      <c r="F49" s="43"/>
      <c r="G49" s="43"/>
      <c r="H49" s="43"/>
      <c r="I49" s="44">
        <f t="shared" si="0"/>
        <v>92</v>
      </c>
      <c r="J49" s="43" t="s">
        <v>121</v>
      </c>
      <c r="K49" s="43" t="s">
        <v>121</v>
      </c>
      <c r="L49" s="43" t="s">
        <v>121</v>
      </c>
      <c r="M49" s="43">
        <v>100</v>
      </c>
      <c r="N49" s="43"/>
      <c r="O49" s="44">
        <f t="shared" si="1"/>
        <v>100</v>
      </c>
      <c r="P49" s="43">
        <v>100</v>
      </c>
      <c r="Q49" s="45">
        <f t="shared" si="2"/>
        <v>97.333333333333329</v>
      </c>
      <c r="R49" s="40">
        <f>VLOOKUP(Q49,TGQC!$X$1:$Y$990,2)</f>
        <v>1.25</v>
      </c>
      <c r="S49" s="40" t="str">
        <f>VLOOKUP(R49,TGQC!$H$1:$I$16,2,0)</f>
        <v>Passed</v>
      </c>
    </row>
    <row r="50" spans="1:19" x14ac:dyDescent="0.3">
      <c r="A50" s="40">
        <v>37</v>
      </c>
      <c r="B50" s="41" t="str">
        <f>'DATA ENTRY'!B62</f>
        <v>24-QC13520</v>
      </c>
      <c r="C50" s="42" t="str">
        <f>'DATA ENTRY'!C62</f>
        <v>TAN, CHRISJAN GABRIEL SAGARIO</v>
      </c>
      <c r="D50" s="43"/>
      <c r="E50" s="43">
        <v>100</v>
      </c>
      <c r="F50" s="43"/>
      <c r="G50" s="43"/>
      <c r="H50" s="43"/>
      <c r="I50" s="44">
        <f t="shared" si="0"/>
        <v>100</v>
      </c>
      <c r="J50" s="43" t="s">
        <v>121</v>
      </c>
      <c r="K50" s="43" t="s">
        <v>121</v>
      </c>
      <c r="L50" s="43" t="s">
        <v>121</v>
      </c>
      <c r="M50" s="43">
        <v>100</v>
      </c>
      <c r="N50" s="43"/>
      <c r="O50" s="44">
        <f t="shared" si="1"/>
        <v>100</v>
      </c>
      <c r="P50" s="43">
        <v>100</v>
      </c>
      <c r="Q50" s="45">
        <f t="shared" si="2"/>
        <v>100</v>
      </c>
      <c r="R50" s="40">
        <f>VLOOKUP(Q50,TGQC!$X$1:$Y$990,2)</f>
        <v>1</v>
      </c>
      <c r="S50" s="40" t="str">
        <f>VLOOKUP(R50,TGQC!$H$1:$I$16,2,0)</f>
        <v>Passed</v>
      </c>
    </row>
    <row r="51" spans="1:19" x14ac:dyDescent="0.3">
      <c r="A51" s="40">
        <v>38</v>
      </c>
      <c r="B51" s="41" t="str">
        <f>'DATA ENTRY'!B63</f>
        <v>23-QC04979</v>
      </c>
      <c r="C51" s="42" t="str">
        <f>'DATA ENTRY'!C63</f>
        <v>TULA, MALIC ANGCAS</v>
      </c>
      <c r="D51" s="43"/>
      <c r="E51" s="43">
        <v>87</v>
      </c>
      <c r="F51" s="43"/>
      <c r="G51" s="43"/>
      <c r="H51" s="43"/>
      <c r="I51" s="44">
        <f t="shared" si="0"/>
        <v>87</v>
      </c>
      <c r="J51" s="43" t="s">
        <v>121</v>
      </c>
      <c r="K51" s="43" t="s">
        <v>121</v>
      </c>
      <c r="L51" s="43" t="s">
        <v>121</v>
      </c>
      <c r="M51" s="43">
        <v>100</v>
      </c>
      <c r="N51" s="43"/>
      <c r="O51" s="44">
        <f t="shared" si="1"/>
        <v>100</v>
      </c>
      <c r="P51" s="43">
        <v>100</v>
      </c>
      <c r="Q51" s="45">
        <f t="shared" si="2"/>
        <v>95.666666666666671</v>
      </c>
      <c r="R51" s="40">
        <f>VLOOKUP(Q51,TGQC!$X$1:$Y$990,2)</f>
        <v>1.25</v>
      </c>
      <c r="S51" s="40" t="str">
        <f>VLOOKUP(R51,TGQC!$H$1:$I$16,2,0)</f>
        <v>Passed</v>
      </c>
    </row>
    <row r="52" spans="1:19" x14ac:dyDescent="0.3">
      <c r="A52" s="40">
        <v>39</v>
      </c>
      <c r="B52" s="41" t="str">
        <f>'DATA ENTRY'!B64</f>
        <v>24-QC13844</v>
      </c>
      <c r="C52" s="42" t="str">
        <f>'DATA ENTRY'!C64</f>
        <v>VALDERAMA, KEISHA ABIGAIL ARROYO</v>
      </c>
      <c r="D52" s="43"/>
      <c r="E52" s="43">
        <v>92</v>
      </c>
      <c r="F52" s="43"/>
      <c r="G52" s="43"/>
      <c r="H52" s="43"/>
      <c r="I52" s="44">
        <f t="shared" si="0"/>
        <v>92</v>
      </c>
      <c r="J52" s="43" t="s">
        <v>121</v>
      </c>
      <c r="K52" s="43" t="s">
        <v>121</v>
      </c>
      <c r="L52" s="43" t="s">
        <v>122</v>
      </c>
      <c r="M52" s="43">
        <v>100</v>
      </c>
      <c r="N52" s="43"/>
      <c r="O52" s="44">
        <f t="shared" si="1"/>
        <v>100</v>
      </c>
      <c r="P52" s="43">
        <v>100</v>
      </c>
      <c r="Q52" s="45">
        <f t="shared" si="2"/>
        <v>97.333333333333329</v>
      </c>
      <c r="R52" s="40">
        <f>VLOOKUP(Q52,TGQC!$X$1:$Y$990,2)</f>
        <v>1.25</v>
      </c>
      <c r="S52" s="40" t="str">
        <f>VLOOKUP(R52,TGQC!$H$1:$I$16,2,0)</f>
        <v>Passed</v>
      </c>
    </row>
    <row r="53" spans="1:19" x14ac:dyDescent="0.3">
      <c r="A53" s="40">
        <v>40</v>
      </c>
      <c r="B53" s="41" t="str">
        <f>'DATA ENTRY'!B65</f>
        <v>24-QC14102</v>
      </c>
      <c r="C53" s="42" t="str">
        <f>'DATA ENTRY'!C65</f>
        <v>VELASCO, KIM ANTONETTE LINDONG</v>
      </c>
      <c r="D53" s="43"/>
      <c r="E53" s="43">
        <v>80</v>
      </c>
      <c r="F53" s="43"/>
      <c r="G53" s="43"/>
      <c r="H53" s="43"/>
      <c r="I53" s="44">
        <f t="shared" si="0"/>
        <v>80</v>
      </c>
      <c r="J53" s="43" t="s">
        <v>121</v>
      </c>
      <c r="K53" s="43" t="s">
        <v>122</v>
      </c>
      <c r="L53" s="43" t="s">
        <v>121</v>
      </c>
      <c r="M53" s="43">
        <v>85</v>
      </c>
      <c r="N53" s="43"/>
      <c r="O53" s="44">
        <f t="shared" si="1"/>
        <v>85</v>
      </c>
      <c r="P53" s="43">
        <v>85</v>
      </c>
      <c r="Q53" s="45">
        <f t="shared" si="2"/>
        <v>83.333333333333329</v>
      </c>
      <c r="R53" s="40">
        <f>VLOOKUP(Q53,TGQC!$X$1:$Y$990,2)</f>
        <v>2.25</v>
      </c>
      <c r="S53" s="40" t="str">
        <f>VLOOKUP(R53,TGQC!$H$1:$I$16,2,0)</f>
        <v>Passed</v>
      </c>
    </row>
    <row r="54" spans="1:19" x14ac:dyDescent="0.3">
      <c r="A54" s="40">
        <v>41</v>
      </c>
      <c r="B54" s="41" t="str">
        <f>'DATA ENTRY'!B66</f>
        <v>24-QC13208</v>
      </c>
      <c r="C54" s="42" t="str">
        <f>'DATA ENTRY'!C66</f>
        <v>VERECIO, ANGEL FAITH CIANO</v>
      </c>
      <c r="D54" s="43"/>
      <c r="E54" s="43">
        <v>95</v>
      </c>
      <c r="F54" s="43"/>
      <c r="G54" s="43"/>
      <c r="H54" s="43"/>
      <c r="I54" s="44">
        <f t="shared" si="0"/>
        <v>95</v>
      </c>
      <c r="J54" s="43" t="s">
        <v>121</v>
      </c>
      <c r="K54" s="43" t="s">
        <v>121</v>
      </c>
      <c r="L54" s="43" t="s">
        <v>121</v>
      </c>
      <c r="M54" s="43">
        <v>100</v>
      </c>
      <c r="N54" s="43"/>
      <c r="O54" s="44">
        <f t="shared" si="1"/>
        <v>100</v>
      </c>
      <c r="P54" s="43">
        <v>100</v>
      </c>
      <c r="Q54" s="45">
        <f t="shared" si="2"/>
        <v>98.333333333333329</v>
      </c>
      <c r="R54" s="40">
        <f>VLOOKUP(Q54,TGQC!$X$1:$Y$990,2)</f>
        <v>1</v>
      </c>
      <c r="S54" s="40" t="str">
        <f>VLOOKUP(R54,TGQC!$H$1:$I$16,2,0)</f>
        <v>Passed</v>
      </c>
    </row>
    <row r="55" spans="1:19" x14ac:dyDescent="0.3">
      <c r="A55" s="40">
        <v>42</v>
      </c>
      <c r="B55" s="41" t="str">
        <f>'DATA ENTRY'!B67</f>
        <v>24-QC13179</v>
      </c>
      <c r="C55" s="42" t="str">
        <f>'DATA ENTRY'!C67</f>
        <v>VILLAMOR, CHELSEY ANNE</v>
      </c>
      <c r="D55" s="43"/>
      <c r="E55" s="43">
        <v>95</v>
      </c>
      <c r="F55" s="43"/>
      <c r="G55" s="43"/>
      <c r="H55" s="43"/>
      <c r="I55" s="44">
        <f t="shared" si="0"/>
        <v>95</v>
      </c>
      <c r="J55" s="43" t="s">
        <v>121</v>
      </c>
      <c r="K55" s="43" t="s">
        <v>121</v>
      </c>
      <c r="L55" s="43" t="s">
        <v>121</v>
      </c>
      <c r="M55" s="43">
        <v>100</v>
      </c>
      <c r="N55" s="43"/>
      <c r="O55" s="44">
        <f t="shared" si="1"/>
        <v>100</v>
      </c>
      <c r="P55" s="43">
        <v>100</v>
      </c>
      <c r="Q55" s="45">
        <f t="shared" si="2"/>
        <v>98.333333333333329</v>
      </c>
      <c r="R55" s="40">
        <f>VLOOKUP(Q55,TGQC!$X$1:$Y$990,2)</f>
        <v>1</v>
      </c>
      <c r="S55" s="40" t="str">
        <f>VLOOKUP(R55,TGQC!$H$1:$I$16,2,0)</f>
        <v>Passed</v>
      </c>
    </row>
    <row r="56" spans="1:19" x14ac:dyDescent="0.3">
      <c r="A56" s="40">
        <v>43</v>
      </c>
      <c r="B56" s="41" t="str">
        <f>'DATA ENTRY'!B68</f>
        <v>24-QC13435</v>
      </c>
      <c r="C56" s="42" t="str">
        <f>'DATA ENTRY'!C68</f>
        <v>YABUT, CARYSE AMARA UNTALAN</v>
      </c>
      <c r="D56" s="43"/>
      <c r="E56" s="43">
        <v>100</v>
      </c>
      <c r="F56" s="43"/>
      <c r="G56" s="43"/>
      <c r="H56" s="43"/>
      <c r="I56" s="44">
        <f t="shared" si="0"/>
        <v>100</v>
      </c>
      <c r="J56" s="43"/>
      <c r="K56" s="43"/>
      <c r="L56" s="43"/>
      <c r="M56" s="43">
        <v>100</v>
      </c>
      <c r="N56" s="43"/>
      <c r="O56" s="44">
        <f t="shared" si="1"/>
        <v>100</v>
      </c>
      <c r="P56" s="43">
        <v>100</v>
      </c>
      <c r="Q56" s="45">
        <f t="shared" si="2"/>
        <v>100</v>
      </c>
      <c r="R56" s="40">
        <f>VLOOKUP(Q56,TGQC!$X$1:$Y$990,2)</f>
        <v>1</v>
      </c>
      <c r="S56" s="40" t="str">
        <f>VLOOKUP(R56,TGQC!$H$1:$I$16,2,0)</f>
        <v>Passed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A1:S1"/>
    <mergeCell ref="A2:S2"/>
    <mergeCell ref="A3:S3"/>
    <mergeCell ref="A4:S4"/>
    <mergeCell ref="K5:M5"/>
    <mergeCell ref="Q5:R5"/>
    <mergeCell ref="C9:H9"/>
    <mergeCell ref="A12:A13"/>
    <mergeCell ref="B12:B13"/>
    <mergeCell ref="C12:C13"/>
    <mergeCell ref="D12:H12"/>
    <mergeCell ref="K6:M6"/>
    <mergeCell ref="Q6:R6"/>
    <mergeCell ref="K7:M7"/>
    <mergeCell ref="K8:M8"/>
    <mergeCell ref="J12:N12"/>
    <mergeCell ref="O12:O13"/>
    <mergeCell ref="I12:I13"/>
    <mergeCell ref="P12:P13"/>
    <mergeCell ref="Q12:Q13"/>
    <mergeCell ref="R12:R13"/>
    <mergeCell ref="S12:S13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tabSelected="1" view="pageBreakPreview" topLeftCell="A37" zoomScale="130" zoomScaleNormal="145" zoomScaleSheetLayoutView="130" workbookViewId="0">
      <selection activeCell="L40" sqref="L40"/>
    </sheetView>
  </sheetViews>
  <sheetFormatPr defaultColWidth="9.21875" defaultRowHeight="13.2" x14ac:dyDescent="0.3"/>
  <cols>
    <col min="1" max="1" width="5.6640625" style="34" customWidth="1"/>
    <col min="2" max="2" width="10.6640625" style="34" customWidth="1"/>
    <col min="3" max="3" width="33.7773437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77734375" style="31" customWidth="1"/>
    <col min="20" max="20" width="8.77734375" style="31" customWidth="1"/>
    <col min="21" max="16384" width="9.21875" style="31"/>
  </cols>
  <sheetData>
    <row r="1" spans="1:20" ht="17.399999999999999" x14ac:dyDescent="0.3">
      <c r="A1" s="71" t="s">
        <v>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30"/>
    </row>
    <row r="2" spans="1:20" ht="14.4" x14ac:dyDescent="0.3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32"/>
    </row>
    <row r="3" spans="1:20" x14ac:dyDescent="0.3">
      <c r="A3" s="74" t="s">
        <v>22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34"/>
    </row>
    <row r="4" spans="1:20" x14ac:dyDescent="0.3">
      <c r="A4" s="76" t="s">
        <v>26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77">
        <f>'DATA ENTRY'!$C$18</f>
        <v>0</v>
      </c>
      <c r="L5" s="77"/>
      <c r="M5" s="77"/>
      <c r="P5" s="35" t="s">
        <v>111</v>
      </c>
      <c r="Q5" s="77">
        <f>'DATA ENTRY'!C21</f>
        <v>0</v>
      </c>
      <c r="R5" s="77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7">
        <f>'DATA ENTRY'!$C$19</f>
        <v>0</v>
      </c>
      <c r="L6" s="77"/>
      <c r="M6" s="77"/>
      <c r="P6" s="35" t="s">
        <v>112</v>
      </c>
      <c r="Q6" s="77">
        <f>'DATA ENTRY'!E13</f>
        <v>0</v>
      </c>
      <c r="R6" s="77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77">
        <f>'DATA ENTRY'!C20</f>
        <v>0</v>
      </c>
      <c r="L7" s="77"/>
      <c r="M7" s="77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77">
        <f>'DATA ENTRY'!C10</f>
        <v>0</v>
      </c>
      <c r="L8" s="77"/>
      <c r="M8" s="77"/>
    </row>
    <row r="9" spans="1:20" x14ac:dyDescent="0.3">
      <c r="B9" s="35" t="s">
        <v>106</v>
      </c>
      <c r="C9" s="77">
        <f>'DATA ENTRY'!$C$13</f>
        <v>0</v>
      </c>
      <c r="D9" s="77"/>
      <c r="E9" s="77"/>
      <c r="F9" s="77"/>
      <c r="G9" s="77"/>
      <c r="H9" s="77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82" t="s">
        <v>27</v>
      </c>
      <c r="B12" s="82" t="s">
        <v>28</v>
      </c>
      <c r="C12" s="82" t="s">
        <v>5</v>
      </c>
      <c r="D12" s="84" t="s">
        <v>91</v>
      </c>
      <c r="E12" s="84"/>
      <c r="F12" s="84"/>
      <c r="G12" s="84"/>
      <c r="H12" s="84"/>
      <c r="I12" s="85" t="s">
        <v>92</v>
      </c>
      <c r="J12" s="84" t="s">
        <v>10</v>
      </c>
      <c r="K12" s="87"/>
      <c r="L12" s="87"/>
      <c r="M12" s="87"/>
      <c r="N12" s="87"/>
      <c r="O12" s="85" t="s">
        <v>92</v>
      </c>
      <c r="P12" s="88" t="s">
        <v>99</v>
      </c>
      <c r="Q12" s="78" t="s">
        <v>21</v>
      </c>
      <c r="R12" s="80" t="s">
        <v>20</v>
      </c>
      <c r="S12" s="80" t="s">
        <v>9</v>
      </c>
      <c r="T12" s="80" t="s">
        <v>51</v>
      </c>
    </row>
    <row r="13" spans="1:20" ht="103.5" customHeight="1" x14ac:dyDescent="0.3">
      <c r="A13" s="83"/>
      <c r="B13" s="83"/>
      <c r="C13" s="83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6"/>
      <c r="J13" s="39"/>
      <c r="K13" s="39"/>
      <c r="L13" s="39"/>
      <c r="M13" s="39"/>
      <c r="N13" s="39"/>
      <c r="O13" s="86"/>
      <c r="P13" s="89"/>
      <c r="Q13" s="79"/>
      <c r="R13" s="81"/>
      <c r="S13" s="81"/>
      <c r="T13" s="81"/>
    </row>
    <row r="14" spans="1:20" x14ac:dyDescent="0.3">
      <c r="A14" s="40">
        <v>1</v>
      </c>
      <c r="B14" s="41" t="str">
        <f>'DATA ENTRY'!B26</f>
        <v>24-QC13447</v>
      </c>
      <c r="C14" s="41" t="str">
        <f>'DATA ENTRY'!C26</f>
        <v>ACOB, TRIXIE JUNIO</v>
      </c>
      <c r="D14" s="43">
        <v>95</v>
      </c>
      <c r="E14" s="43"/>
      <c r="F14" s="43"/>
      <c r="G14" s="43"/>
      <c r="H14" s="43"/>
      <c r="I14" s="44">
        <f>IFERROR(AVERAGE(D14:H14),"0")</f>
        <v>95</v>
      </c>
      <c r="J14" s="43" t="s">
        <v>121</v>
      </c>
      <c r="K14" s="43" t="s">
        <v>121</v>
      </c>
      <c r="L14" s="43">
        <v>92</v>
      </c>
      <c r="M14" s="43"/>
      <c r="N14" s="43"/>
      <c r="O14" s="44">
        <f>IFERROR(AVERAGE(J14:N14),"0")</f>
        <v>92</v>
      </c>
      <c r="P14" s="43">
        <v>92</v>
      </c>
      <c r="Q14" s="45">
        <f>SUM(I14,O14,P14)/3</f>
        <v>93</v>
      </c>
      <c r="R14" s="40">
        <f>IFERROR(VLOOKUP(Q14,TGQC!$X$1:$Y$990,2),"0")</f>
        <v>1.5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24-QC12756</v>
      </c>
      <c r="C15" s="41" t="str">
        <f>'DATA ENTRY'!C27</f>
        <v>ACOSTA, DANNMICHAEL DULLA</v>
      </c>
      <c r="D15" s="43">
        <v>80</v>
      </c>
      <c r="E15" s="43"/>
      <c r="F15" s="43"/>
      <c r="G15" s="43"/>
      <c r="H15" s="43"/>
      <c r="I15" s="44">
        <f t="shared" ref="I15:I78" si="0">IFERROR(AVERAGE(D15:H15),"0")</f>
        <v>80</v>
      </c>
      <c r="J15" s="43" t="s">
        <v>122</v>
      </c>
      <c r="K15" s="43" t="s">
        <v>122</v>
      </c>
      <c r="L15" s="43">
        <v>95</v>
      </c>
      <c r="M15" s="43"/>
      <c r="N15" s="43"/>
      <c r="O15" s="44">
        <f t="shared" ref="O15:O78" si="1">IFERROR(AVERAGE(J15:N15),"0")</f>
        <v>95</v>
      </c>
      <c r="P15" s="43">
        <v>95</v>
      </c>
      <c r="Q15" s="45">
        <f t="shared" ref="Q15:Q78" si="2">SUM(I15,O15,P15)/3</f>
        <v>90</v>
      </c>
      <c r="R15" s="40">
        <f>IFERROR(VLOOKUP(Q15,TGQC!$X$1:$Y$990,2),"0")</f>
        <v>1.75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24-QC12714</v>
      </c>
      <c r="C16" s="41" t="str">
        <f>'DATA ENTRY'!C28</f>
        <v>AGUILAR, KIMBERLY ASHLEY CALUMPIT</v>
      </c>
      <c r="D16" s="43">
        <v>95</v>
      </c>
      <c r="E16" s="43"/>
      <c r="F16" s="43"/>
      <c r="G16" s="43"/>
      <c r="H16" s="43"/>
      <c r="I16" s="44">
        <f t="shared" si="0"/>
        <v>95</v>
      </c>
      <c r="J16" s="43" t="s">
        <v>121</v>
      </c>
      <c r="K16" s="43" t="s">
        <v>121</v>
      </c>
      <c r="L16" s="43">
        <v>100</v>
      </c>
      <c r="M16" s="43"/>
      <c r="N16" s="43"/>
      <c r="O16" s="44">
        <f t="shared" si="1"/>
        <v>100</v>
      </c>
      <c r="P16" s="43">
        <v>100</v>
      </c>
      <c r="Q16" s="45">
        <f t="shared" si="2"/>
        <v>98.333333333333329</v>
      </c>
      <c r="R16" s="40">
        <f>IFERROR(VLOOKUP(Q16,TGQC!$X$1:$Y$990,2),"0")</f>
        <v>1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24-QC13807</v>
      </c>
      <c r="C17" s="41" t="str">
        <f>'DATA ENTRY'!C29</f>
        <v>ARANDIA, JOHN PAUL TAGULAO</v>
      </c>
      <c r="D17" s="43">
        <v>95</v>
      </c>
      <c r="E17" s="43"/>
      <c r="F17" s="43"/>
      <c r="G17" s="43"/>
      <c r="H17" s="43"/>
      <c r="I17" s="44">
        <f t="shared" si="0"/>
        <v>95</v>
      </c>
      <c r="J17" s="43" t="s">
        <v>121</v>
      </c>
      <c r="K17" s="43" t="s">
        <v>121</v>
      </c>
      <c r="L17" s="43">
        <v>95</v>
      </c>
      <c r="M17" s="43"/>
      <c r="N17" s="43"/>
      <c r="O17" s="44">
        <f t="shared" si="1"/>
        <v>95</v>
      </c>
      <c r="P17" s="43">
        <v>95</v>
      </c>
      <c r="Q17" s="45">
        <f t="shared" si="2"/>
        <v>95</v>
      </c>
      <c r="R17" s="40">
        <f>IFERROR(VLOOKUP(Q17,TGQC!$X$1:$Y$990,2),"0")</f>
        <v>1.25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24-QC13547</v>
      </c>
      <c r="C18" s="41" t="str">
        <f>'DATA ENTRY'!C30</f>
        <v>AROCHA, NESHANEL</v>
      </c>
      <c r="D18" s="43">
        <v>85</v>
      </c>
      <c r="E18" s="43"/>
      <c r="F18" s="43"/>
      <c r="G18" s="43"/>
      <c r="H18" s="43"/>
      <c r="I18" s="44">
        <f t="shared" si="0"/>
        <v>85</v>
      </c>
      <c r="J18" s="43" t="s">
        <v>122</v>
      </c>
      <c r="K18" s="43" t="s">
        <v>121</v>
      </c>
      <c r="L18" s="43">
        <v>85</v>
      </c>
      <c r="M18" s="43"/>
      <c r="N18" s="43"/>
      <c r="O18" s="44">
        <f t="shared" si="1"/>
        <v>85</v>
      </c>
      <c r="P18" s="43">
        <v>85</v>
      </c>
      <c r="Q18" s="45">
        <f t="shared" si="2"/>
        <v>85</v>
      </c>
      <c r="R18" s="40">
        <f>IFERROR(VLOOKUP(Q18,TGQC!$X$1:$Y$990,2),"0")</f>
        <v>2.25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24-QC13905</v>
      </c>
      <c r="C19" s="41" t="str">
        <f>'DATA ENTRY'!C31</f>
        <v>ARRIOLA, GABRIEL PEHID</v>
      </c>
      <c r="D19" s="43">
        <v>85</v>
      </c>
      <c r="E19" s="43"/>
      <c r="F19" s="43"/>
      <c r="G19" s="43"/>
      <c r="H19" s="43"/>
      <c r="I19" s="44">
        <f t="shared" si="0"/>
        <v>85</v>
      </c>
      <c r="J19" s="43" t="s">
        <v>122</v>
      </c>
      <c r="K19" s="43" t="s">
        <v>121</v>
      </c>
      <c r="L19" s="43">
        <v>92</v>
      </c>
      <c r="M19" s="43"/>
      <c r="N19" s="43"/>
      <c r="O19" s="44">
        <f t="shared" si="1"/>
        <v>92</v>
      </c>
      <c r="P19" s="43">
        <v>92</v>
      </c>
      <c r="Q19" s="45">
        <f t="shared" si="2"/>
        <v>89.666666666666671</v>
      </c>
      <c r="R19" s="40">
        <f>IFERROR(VLOOKUP(Q19,TGQC!$X$1:$Y$990,2),"0")</f>
        <v>1.75</v>
      </c>
      <c r="S19" s="40" t="str">
        <f>VLOOKUP(R19&amp;"-"&amp;T19,TGQC!$N$1:$Q$56,4,0)</f>
        <v>Passed</v>
      </c>
      <c r="T19" s="43"/>
    </row>
    <row r="20" spans="1:20" x14ac:dyDescent="0.3">
      <c r="A20" s="40">
        <v>7</v>
      </c>
      <c r="B20" s="41" t="str">
        <f>'DATA ENTRY'!B32</f>
        <v>23-QC03433</v>
      </c>
      <c r="C20" s="41" t="str">
        <f>'DATA ENTRY'!C32</f>
        <v>AVILES, ANTONIO TITOY</v>
      </c>
      <c r="D20" s="43">
        <v>80</v>
      </c>
      <c r="E20" s="43"/>
      <c r="F20" s="43"/>
      <c r="G20" s="43"/>
      <c r="H20" s="43"/>
      <c r="I20" s="44">
        <f t="shared" si="0"/>
        <v>80</v>
      </c>
      <c r="J20" s="43" t="s">
        <v>122</v>
      </c>
      <c r="K20" s="43" t="s">
        <v>122</v>
      </c>
      <c r="L20" s="43">
        <v>92</v>
      </c>
      <c r="M20" s="43"/>
      <c r="N20" s="43"/>
      <c r="O20" s="44">
        <f t="shared" si="1"/>
        <v>92</v>
      </c>
      <c r="P20" s="43">
        <v>92</v>
      </c>
      <c r="Q20" s="45">
        <f t="shared" si="2"/>
        <v>88</v>
      </c>
      <c r="R20" s="40">
        <f>IFERROR(VLOOKUP(Q20,TGQC!$X$1:$Y$990,2),"0")</f>
        <v>2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24-QC12867</v>
      </c>
      <c r="C21" s="41" t="str">
        <f>'DATA ENTRY'!C33</f>
        <v>BASILIO, CHARLES PLURAL</v>
      </c>
      <c r="D21" s="43">
        <v>95</v>
      </c>
      <c r="E21" s="43"/>
      <c r="F21" s="43"/>
      <c r="G21" s="43"/>
      <c r="H21" s="43"/>
      <c r="I21" s="44">
        <f t="shared" si="0"/>
        <v>95</v>
      </c>
      <c r="J21" s="43" t="s">
        <v>121</v>
      </c>
      <c r="K21" s="43" t="s">
        <v>121</v>
      </c>
      <c r="L21" s="43">
        <v>99</v>
      </c>
      <c r="M21" s="43"/>
      <c r="N21" s="43"/>
      <c r="O21" s="44">
        <f t="shared" si="1"/>
        <v>99</v>
      </c>
      <c r="P21" s="43">
        <v>99</v>
      </c>
      <c r="Q21" s="45">
        <f t="shared" si="2"/>
        <v>97.666666666666671</v>
      </c>
      <c r="R21" s="40">
        <f>IFERROR(VLOOKUP(Q21,TGQC!$X$1:$Y$990,2),"0")</f>
        <v>1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24-QC14612</v>
      </c>
      <c r="C22" s="41" t="str">
        <f>'DATA ENTRY'!C34</f>
        <v>BRINGINO, RALPH REGOR</v>
      </c>
      <c r="D22" s="43">
        <v>80</v>
      </c>
      <c r="E22" s="43"/>
      <c r="F22" s="43"/>
      <c r="G22" s="43"/>
      <c r="H22" s="43"/>
      <c r="I22" s="44">
        <f t="shared" si="0"/>
        <v>80</v>
      </c>
      <c r="J22" s="43" t="s">
        <v>122</v>
      </c>
      <c r="K22" s="43" t="s">
        <v>122</v>
      </c>
      <c r="L22" s="43">
        <v>92</v>
      </c>
      <c r="M22" s="43"/>
      <c r="N22" s="43"/>
      <c r="O22" s="44">
        <f t="shared" si="1"/>
        <v>92</v>
      </c>
      <c r="P22" s="43">
        <v>92</v>
      </c>
      <c r="Q22" s="45">
        <f t="shared" si="2"/>
        <v>88</v>
      </c>
      <c r="R22" s="40">
        <f>IFERROR(VLOOKUP(Q22,TGQC!$X$1:$Y$990,2),"0")</f>
        <v>2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24-QC13948</v>
      </c>
      <c r="C23" s="41" t="str">
        <f>'DATA ENTRY'!C35</f>
        <v>CABRERA, CHARLES IAN</v>
      </c>
      <c r="D23" s="43">
        <v>85</v>
      </c>
      <c r="E23" s="43"/>
      <c r="F23" s="43"/>
      <c r="G23" s="43"/>
      <c r="H23" s="43"/>
      <c r="I23" s="44">
        <f t="shared" si="0"/>
        <v>85</v>
      </c>
      <c r="J23" s="43" t="s">
        <v>122</v>
      </c>
      <c r="K23" s="43" t="s">
        <v>121</v>
      </c>
      <c r="L23" s="43">
        <v>95</v>
      </c>
      <c r="M23" s="43"/>
      <c r="N23" s="43"/>
      <c r="O23" s="44">
        <f t="shared" si="1"/>
        <v>95</v>
      </c>
      <c r="P23" s="43">
        <v>95</v>
      </c>
      <c r="Q23" s="45">
        <f t="shared" si="2"/>
        <v>91.666666666666671</v>
      </c>
      <c r="R23" s="40">
        <f>IFERROR(VLOOKUP(Q23,TGQC!$X$1:$Y$990,2),"0")</f>
        <v>1.5</v>
      </c>
      <c r="S23" s="40" t="str">
        <f>VLOOKUP(R23&amp;"-"&amp;T23,TGQC!$N$1:$Q$56,4,0)</f>
        <v>Passed</v>
      </c>
      <c r="T23" s="43"/>
    </row>
    <row r="24" spans="1:20" x14ac:dyDescent="0.3">
      <c r="A24" s="40">
        <v>11</v>
      </c>
      <c r="B24" s="41" t="str">
        <f>'DATA ENTRY'!B36</f>
        <v>24-QC13477</v>
      </c>
      <c r="C24" s="41" t="str">
        <f>'DATA ENTRY'!C36</f>
        <v>CAMPOS, RYAN MIGUEL PACAYRA</v>
      </c>
      <c r="D24" s="43">
        <v>69</v>
      </c>
      <c r="E24" s="43"/>
      <c r="F24" s="43"/>
      <c r="G24" s="43"/>
      <c r="H24" s="43"/>
      <c r="I24" s="44">
        <f t="shared" si="0"/>
        <v>69</v>
      </c>
      <c r="J24" s="43" t="s">
        <v>122</v>
      </c>
      <c r="K24" s="43" t="s">
        <v>122</v>
      </c>
      <c r="L24" s="43">
        <v>69</v>
      </c>
      <c r="M24" s="43"/>
      <c r="N24" s="43"/>
      <c r="O24" s="44">
        <f t="shared" si="1"/>
        <v>69</v>
      </c>
      <c r="P24" s="43">
        <v>69</v>
      </c>
      <c r="Q24" s="45">
        <f t="shared" si="2"/>
        <v>69</v>
      </c>
      <c r="R24" s="40">
        <f>IFERROR(VLOOKUP(Q24,TGQC!$X$1:$Y$990,2),"0")</f>
        <v>5</v>
      </c>
      <c r="S24" s="40" t="str">
        <f>VLOOKUP(R24&amp;"-"&amp;T24,TGQC!$N$1:$Q$56,4,0)</f>
        <v>Failed</v>
      </c>
      <c r="T24" s="43"/>
    </row>
    <row r="25" spans="1:20" x14ac:dyDescent="0.3">
      <c r="A25" s="40">
        <v>12</v>
      </c>
      <c r="B25" s="41" t="str">
        <f>'DATA ENTRY'!B37</f>
        <v>24-QC14613</v>
      </c>
      <c r="C25" s="41" t="str">
        <f>'DATA ENTRY'!C37</f>
        <v>CASTILLO, LOUIS ANGELO CRAME</v>
      </c>
      <c r="D25" s="43">
        <v>85</v>
      </c>
      <c r="E25" s="43"/>
      <c r="F25" s="43"/>
      <c r="G25" s="43"/>
      <c r="H25" s="43"/>
      <c r="I25" s="44">
        <f t="shared" si="0"/>
        <v>85</v>
      </c>
      <c r="J25" s="43" t="s">
        <v>122</v>
      </c>
      <c r="K25" s="43" t="s">
        <v>121</v>
      </c>
      <c r="L25" s="43">
        <v>95</v>
      </c>
      <c r="M25" s="43"/>
      <c r="N25" s="43"/>
      <c r="O25" s="44">
        <f t="shared" si="1"/>
        <v>95</v>
      </c>
      <c r="P25" s="43">
        <v>95</v>
      </c>
      <c r="Q25" s="45">
        <f t="shared" si="2"/>
        <v>91.666666666666671</v>
      </c>
      <c r="R25" s="40">
        <f>IFERROR(VLOOKUP(Q25,TGQC!$X$1:$Y$990,2),"0")</f>
        <v>1.5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24-QC12893</v>
      </c>
      <c r="C26" s="41" t="str">
        <f>'DATA ENTRY'!C38</f>
        <v>CREMAN, DIESSA MAE ANGELES</v>
      </c>
      <c r="D26" s="43">
        <v>95</v>
      </c>
      <c r="E26" s="43"/>
      <c r="F26" s="43"/>
      <c r="G26" s="43"/>
      <c r="H26" s="43"/>
      <c r="I26" s="44">
        <f t="shared" si="0"/>
        <v>95</v>
      </c>
      <c r="J26" s="43" t="s">
        <v>121</v>
      </c>
      <c r="K26" s="43" t="s">
        <v>121</v>
      </c>
      <c r="L26" s="43">
        <v>95</v>
      </c>
      <c r="M26" s="43"/>
      <c r="N26" s="43"/>
      <c r="O26" s="44">
        <f t="shared" si="1"/>
        <v>95</v>
      </c>
      <c r="P26" s="43">
        <v>95</v>
      </c>
      <c r="Q26" s="45">
        <f t="shared" si="2"/>
        <v>95</v>
      </c>
      <c r="R26" s="40">
        <f>IFERROR(VLOOKUP(Q26,TGQC!$X$1:$Y$990,2),"0")</f>
        <v>1.25</v>
      </c>
      <c r="S26" s="40" t="str">
        <f>VLOOKUP(R26&amp;"-"&amp;T26,TGQC!$N$1:$Q$56,4,0)</f>
        <v>Passed</v>
      </c>
      <c r="T26" s="43"/>
    </row>
    <row r="27" spans="1:20" x14ac:dyDescent="0.3">
      <c r="A27" s="40">
        <v>14</v>
      </c>
      <c r="B27" s="41" t="str">
        <f>'DATA ENTRY'!B39</f>
        <v>24-QC13705</v>
      </c>
      <c r="C27" s="41" t="str">
        <f>'DATA ENTRY'!C39</f>
        <v>DAYRIT, KRIS ZILDJAN REI BANZON</v>
      </c>
      <c r="D27" s="43">
        <v>80</v>
      </c>
      <c r="E27" s="43"/>
      <c r="F27" s="43"/>
      <c r="G27" s="43"/>
      <c r="H27" s="43"/>
      <c r="I27" s="44">
        <f t="shared" si="0"/>
        <v>80</v>
      </c>
      <c r="J27" s="43" t="s">
        <v>122</v>
      </c>
      <c r="K27" s="43" t="s">
        <v>122</v>
      </c>
      <c r="L27" s="43">
        <v>90</v>
      </c>
      <c r="M27" s="43"/>
      <c r="N27" s="43"/>
      <c r="O27" s="44">
        <f t="shared" si="1"/>
        <v>90</v>
      </c>
      <c r="P27" s="43">
        <v>90</v>
      </c>
      <c r="Q27" s="45">
        <f t="shared" si="2"/>
        <v>86.666666666666671</v>
      </c>
      <c r="R27" s="40">
        <f>IFERROR(VLOOKUP(Q27,TGQC!$X$1:$Y$990,2),"0")</f>
        <v>2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24-QC12852</v>
      </c>
      <c r="C28" s="41" t="str">
        <f>'DATA ENTRY'!C40</f>
        <v>DE BELEN, JASHLEY ANN ADORA</v>
      </c>
      <c r="D28" s="43">
        <v>95</v>
      </c>
      <c r="E28" s="43"/>
      <c r="F28" s="43"/>
      <c r="G28" s="43"/>
      <c r="H28" s="43"/>
      <c r="I28" s="44">
        <f t="shared" si="0"/>
        <v>95</v>
      </c>
      <c r="J28" s="43" t="s">
        <v>121</v>
      </c>
      <c r="K28" s="43" t="s">
        <v>121</v>
      </c>
      <c r="L28" s="43">
        <v>93</v>
      </c>
      <c r="M28" s="43"/>
      <c r="N28" s="43"/>
      <c r="O28" s="44">
        <f t="shared" si="1"/>
        <v>93</v>
      </c>
      <c r="P28" s="43">
        <v>93</v>
      </c>
      <c r="Q28" s="45">
        <f t="shared" si="2"/>
        <v>93.666666666666671</v>
      </c>
      <c r="R28" s="40">
        <f>IFERROR(VLOOKUP(Q28,TGQC!$X$1:$Y$990,2),"0")</f>
        <v>1.5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24-QC13048</v>
      </c>
      <c r="C29" s="41" t="str">
        <f>'DATA ENTRY'!C41</f>
        <v>DEL PILAR, MARK JAYSON ESGUERRA</v>
      </c>
      <c r="D29" s="43">
        <v>95</v>
      </c>
      <c r="E29" s="43"/>
      <c r="F29" s="43"/>
      <c r="G29" s="43"/>
      <c r="H29" s="43"/>
      <c r="I29" s="44">
        <f t="shared" si="0"/>
        <v>95</v>
      </c>
      <c r="J29" s="43" t="s">
        <v>121</v>
      </c>
      <c r="K29" s="43" t="s">
        <v>121</v>
      </c>
      <c r="L29" s="43">
        <v>95</v>
      </c>
      <c r="M29" s="43"/>
      <c r="N29" s="43"/>
      <c r="O29" s="44">
        <f t="shared" si="1"/>
        <v>95</v>
      </c>
      <c r="P29" s="43">
        <v>95</v>
      </c>
      <c r="Q29" s="45">
        <f t="shared" si="2"/>
        <v>95</v>
      </c>
      <c r="R29" s="40">
        <f>IFERROR(VLOOKUP(Q29,TGQC!$X$1:$Y$990,2),"0")</f>
        <v>1.25</v>
      </c>
      <c r="S29" s="40" t="str">
        <f>VLOOKUP(R29&amp;"-"&amp;T29,TGQC!$N$1:$Q$56,4,0)</f>
        <v>Passed</v>
      </c>
      <c r="T29" s="43"/>
    </row>
    <row r="30" spans="1:20" x14ac:dyDescent="0.3">
      <c r="A30" s="40">
        <v>17</v>
      </c>
      <c r="B30" s="41" t="str">
        <f>'DATA ENTRY'!B42</f>
        <v>24-QC13213</v>
      </c>
      <c r="C30" s="41" t="str">
        <f>'DATA ENTRY'!C42</f>
        <v>ENGUAS, JEFFERSON ETONG</v>
      </c>
      <c r="D30" s="43">
        <v>95</v>
      </c>
      <c r="E30" s="43"/>
      <c r="F30" s="43"/>
      <c r="G30" s="43"/>
      <c r="H30" s="43"/>
      <c r="I30" s="44">
        <f t="shared" si="0"/>
        <v>95</v>
      </c>
      <c r="J30" s="43" t="s">
        <v>121</v>
      </c>
      <c r="K30" s="43" t="s">
        <v>121</v>
      </c>
      <c r="L30" s="43">
        <v>92</v>
      </c>
      <c r="M30" s="43"/>
      <c r="N30" s="43"/>
      <c r="O30" s="44">
        <f t="shared" si="1"/>
        <v>92</v>
      </c>
      <c r="P30" s="43">
        <v>92</v>
      </c>
      <c r="Q30" s="45">
        <f t="shared" si="2"/>
        <v>93</v>
      </c>
      <c r="R30" s="40">
        <f>IFERROR(VLOOKUP(Q30,TGQC!$X$1:$Y$990,2),"0")</f>
        <v>1.5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24-QC13789</v>
      </c>
      <c r="C31" s="41" t="str">
        <f>'DATA ENTRY'!C43</f>
        <v>ESTRADA, KENNETH ANDREI VINLUAN</v>
      </c>
      <c r="D31" s="43">
        <v>95</v>
      </c>
      <c r="E31" s="43"/>
      <c r="F31" s="43"/>
      <c r="G31" s="43"/>
      <c r="H31" s="43"/>
      <c r="I31" s="44">
        <f t="shared" si="0"/>
        <v>95</v>
      </c>
      <c r="J31" s="43" t="s">
        <v>121</v>
      </c>
      <c r="K31" s="43" t="s">
        <v>121</v>
      </c>
      <c r="L31" s="43">
        <v>95</v>
      </c>
      <c r="M31" s="43"/>
      <c r="N31" s="43"/>
      <c r="O31" s="44">
        <f t="shared" si="1"/>
        <v>95</v>
      </c>
      <c r="P31" s="43">
        <v>95</v>
      </c>
      <c r="Q31" s="45">
        <f t="shared" si="2"/>
        <v>95</v>
      </c>
      <c r="R31" s="40">
        <f>IFERROR(VLOOKUP(Q31,TGQC!$X$1:$Y$990,2),"0")</f>
        <v>1.25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24-QC13643</v>
      </c>
      <c r="C32" s="41" t="str">
        <f>'DATA ENTRY'!C44</f>
        <v>FRIANEZA, MITCH LORKAN TUTOP</v>
      </c>
      <c r="D32" s="43">
        <v>85</v>
      </c>
      <c r="E32" s="43"/>
      <c r="F32" s="43"/>
      <c r="G32" s="43"/>
      <c r="H32" s="43"/>
      <c r="I32" s="44">
        <f t="shared" si="0"/>
        <v>85</v>
      </c>
      <c r="J32" s="43" t="s">
        <v>121</v>
      </c>
      <c r="K32" s="43" t="s">
        <v>122</v>
      </c>
      <c r="L32" s="43">
        <v>80</v>
      </c>
      <c r="M32" s="43"/>
      <c r="N32" s="43"/>
      <c r="O32" s="44">
        <f t="shared" si="1"/>
        <v>80</v>
      </c>
      <c r="P32" s="43">
        <v>80</v>
      </c>
      <c r="Q32" s="45">
        <f t="shared" si="2"/>
        <v>81.666666666666671</v>
      </c>
      <c r="R32" s="40">
        <f>IFERROR(VLOOKUP(Q32,TGQC!$X$1:$Y$990,2),"0")</f>
        <v>2.5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24-QC13741</v>
      </c>
      <c r="C33" s="41" t="str">
        <f>'DATA ENTRY'!C45</f>
        <v>GAERLAN, AXEL LOPEZ</v>
      </c>
      <c r="D33" s="43">
        <v>95</v>
      </c>
      <c r="E33" s="43"/>
      <c r="F33" s="43"/>
      <c r="G33" s="43"/>
      <c r="H33" s="43"/>
      <c r="I33" s="44">
        <f t="shared" si="0"/>
        <v>95</v>
      </c>
      <c r="J33" s="43" t="s">
        <v>121</v>
      </c>
      <c r="K33" s="43" t="s">
        <v>121</v>
      </c>
      <c r="L33" s="43">
        <v>92</v>
      </c>
      <c r="M33" s="43"/>
      <c r="N33" s="43"/>
      <c r="O33" s="44">
        <f t="shared" si="1"/>
        <v>92</v>
      </c>
      <c r="P33" s="43">
        <v>92</v>
      </c>
      <c r="Q33" s="45">
        <f t="shared" si="2"/>
        <v>93</v>
      </c>
      <c r="R33" s="40">
        <f>IFERROR(VLOOKUP(Q33,TGQC!$X$1:$Y$990,2),"0")</f>
        <v>1.5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 t="str">
        <f>'DATA ENTRY'!B46</f>
        <v>24-QC12340</v>
      </c>
      <c r="C34" s="41" t="str">
        <f>'DATA ENTRY'!C46</f>
        <v>GARCIA, JUSTIN CARBONQUILLO</v>
      </c>
      <c r="D34" s="43">
        <v>95</v>
      </c>
      <c r="E34" s="43"/>
      <c r="F34" s="43"/>
      <c r="G34" s="43"/>
      <c r="H34" s="43"/>
      <c r="I34" s="44">
        <f t="shared" si="0"/>
        <v>95</v>
      </c>
      <c r="J34" s="43" t="s">
        <v>121</v>
      </c>
      <c r="K34" s="43" t="s">
        <v>121</v>
      </c>
      <c r="L34" s="43">
        <v>98</v>
      </c>
      <c r="M34" s="43"/>
      <c r="N34" s="43"/>
      <c r="O34" s="44">
        <f t="shared" si="1"/>
        <v>98</v>
      </c>
      <c r="P34" s="43">
        <v>98</v>
      </c>
      <c r="Q34" s="45">
        <f t="shared" si="2"/>
        <v>97</v>
      </c>
      <c r="R34" s="40">
        <f>IFERROR(VLOOKUP(Q34,TGQC!$X$1:$Y$990,2),"0")</f>
        <v>1.25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 t="str">
        <f>'DATA ENTRY'!B47</f>
        <v>24-QC12193</v>
      </c>
      <c r="C35" s="41" t="str">
        <f>'DATA ENTRY'!C47</f>
        <v>GROSPE, ARL JOHN GAMBOA</v>
      </c>
      <c r="D35" s="43">
        <v>95</v>
      </c>
      <c r="E35" s="43"/>
      <c r="F35" s="43"/>
      <c r="G35" s="43"/>
      <c r="H35" s="43"/>
      <c r="I35" s="44">
        <f t="shared" si="0"/>
        <v>95</v>
      </c>
      <c r="J35" s="43" t="s">
        <v>121</v>
      </c>
      <c r="K35" s="43" t="s">
        <v>121</v>
      </c>
      <c r="L35" s="43">
        <v>92</v>
      </c>
      <c r="M35" s="43"/>
      <c r="N35" s="43"/>
      <c r="O35" s="44">
        <f t="shared" si="1"/>
        <v>92</v>
      </c>
      <c r="P35" s="43">
        <v>92</v>
      </c>
      <c r="Q35" s="45">
        <f t="shared" si="2"/>
        <v>93</v>
      </c>
      <c r="R35" s="40">
        <f>IFERROR(VLOOKUP(Q35,TGQC!$X$1:$Y$990,2),"0")</f>
        <v>1.5</v>
      </c>
      <c r="S35" s="40" t="str">
        <f>VLOOKUP(R35&amp;"-"&amp;T35,TGQC!$N$1:$Q$56,4,0)</f>
        <v>Passed</v>
      </c>
      <c r="T35" s="43"/>
    </row>
    <row r="36" spans="1:20" x14ac:dyDescent="0.3">
      <c r="A36" s="40">
        <v>23</v>
      </c>
      <c r="B36" s="41" t="str">
        <f>'DATA ENTRY'!B48</f>
        <v>24-QC13448</v>
      </c>
      <c r="C36" s="41" t="str">
        <f>'DATA ENTRY'!C48</f>
        <v>JARINA, YUKI AUDREY DE GUZMAN</v>
      </c>
      <c r="D36" s="43">
        <v>85</v>
      </c>
      <c r="E36" s="43"/>
      <c r="F36" s="43"/>
      <c r="G36" s="43"/>
      <c r="H36" s="43"/>
      <c r="I36" s="44">
        <f t="shared" si="0"/>
        <v>85</v>
      </c>
      <c r="J36" s="43" t="s">
        <v>121</v>
      </c>
      <c r="K36" s="43" t="s">
        <v>122</v>
      </c>
      <c r="L36" s="43">
        <v>90</v>
      </c>
      <c r="M36" s="43"/>
      <c r="N36" s="43"/>
      <c r="O36" s="44">
        <f t="shared" si="1"/>
        <v>90</v>
      </c>
      <c r="P36" s="43">
        <v>90</v>
      </c>
      <c r="Q36" s="45">
        <f t="shared" si="2"/>
        <v>88.333333333333329</v>
      </c>
      <c r="R36" s="40">
        <f>IFERROR(VLOOKUP(Q36,TGQC!$X$1:$Y$990,2),"0")</f>
        <v>2</v>
      </c>
      <c r="S36" s="40" t="str">
        <f>VLOOKUP(R36&amp;"-"&amp;T36,TGQC!$N$1:$Q$56,4,0)</f>
        <v>Passed</v>
      </c>
      <c r="T36" s="43"/>
    </row>
    <row r="37" spans="1:20" x14ac:dyDescent="0.3">
      <c r="A37" s="40">
        <v>24</v>
      </c>
      <c r="B37" s="41" t="str">
        <f>'DATA ENTRY'!B49</f>
        <v>24-QC14896</v>
      </c>
      <c r="C37" s="41" t="str">
        <f>'DATA ENTRY'!C49</f>
        <v>JOAQUIN, JOHN NARRAH N/A</v>
      </c>
      <c r="D37" s="43">
        <v>85</v>
      </c>
      <c r="E37" s="43"/>
      <c r="F37" s="43"/>
      <c r="G37" s="43"/>
      <c r="H37" s="43"/>
      <c r="I37" s="44">
        <f t="shared" si="0"/>
        <v>85</v>
      </c>
      <c r="J37" s="43" t="s">
        <v>122</v>
      </c>
      <c r="K37" s="43" t="s">
        <v>121</v>
      </c>
      <c r="L37" s="43">
        <v>90</v>
      </c>
      <c r="M37" s="43"/>
      <c r="N37" s="43"/>
      <c r="O37" s="44">
        <f t="shared" si="1"/>
        <v>90</v>
      </c>
      <c r="P37" s="43">
        <v>90</v>
      </c>
      <c r="Q37" s="45">
        <f t="shared" si="2"/>
        <v>88.333333333333329</v>
      </c>
      <c r="R37" s="40">
        <f>IFERROR(VLOOKUP(Q37,TGQC!$X$1:$Y$990,2),"0")</f>
        <v>2</v>
      </c>
      <c r="S37" s="40" t="str">
        <f>VLOOKUP(R37&amp;"-"&amp;T37,TGQC!$N$1:$Q$56,4,0)</f>
        <v>Passed</v>
      </c>
      <c r="T37" s="43"/>
    </row>
    <row r="38" spans="1:20" x14ac:dyDescent="0.3">
      <c r="A38" s="40">
        <v>25</v>
      </c>
      <c r="B38" s="41" t="str">
        <f>'DATA ENTRY'!B50</f>
        <v>24-QC12817</v>
      </c>
      <c r="C38" s="41" t="str">
        <f>'DATA ENTRY'!C50</f>
        <v>LAGROSA, JARED JASPER BAYANI</v>
      </c>
      <c r="D38" s="43">
        <v>95</v>
      </c>
      <c r="E38" s="43"/>
      <c r="F38" s="43"/>
      <c r="G38" s="43"/>
      <c r="H38" s="43"/>
      <c r="I38" s="44">
        <f t="shared" si="0"/>
        <v>95</v>
      </c>
      <c r="J38" s="43" t="s">
        <v>121</v>
      </c>
      <c r="K38" s="43" t="s">
        <v>121</v>
      </c>
      <c r="L38" s="43">
        <v>95</v>
      </c>
      <c r="M38" s="43"/>
      <c r="N38" s="43"/>
      <c r="O38" s="44">
        <f t="shared" si="1"/>
        <v>95</v>
      </c>
      <c r="P38" s="43">
        <v>95</v>
      </c>
      <c r="Q38" s="45">
        <f t="shared" si="2"/>
        <v>95</v>
      </c>
      <c r="R38" s="40">
        <f>IFERROR(VLOOKUP(Q38,TGQC!$X$1:$Y$990,2),"0")</f>
        <v>1.25</v>
      </c>
      <c r="S38" s="40" t="str">
        <f>VLOOKUP(R38&amp;"-"&amp;T38,TGQC!$N$1:$Q$56,4,0)</f>
        <v>Passed</v>
      </c>
      <c r="T38" s="43"/>
    </row>
    <row r="39" spans="1:20" x14ac:dyDescent="0.3">
      <c r="A39" s="40">
        <v>26</v>
      </c>
      <c r="B39" s="41" t="str">
        <f>'DATA ENTRY'!B51</f>
        <v>24-QC14194</v>
      </c>
      <c r="C39" s="41" t="str">
        <f>'DATA ENTRY'!C51</f>
        <v>LIBATON, JASON BALBUENA</v>
      </c>
      <c r="D39" s="43">
        <v>95</v>
      </c>
      <c r="E39" s="43"/>
      <c r="F39" s="43"/>
      <c r="G39" s="43"/>
      <c r="H39" s="43"/>
      <c r="I39" s="44">
        <f t="shared" si="0"/>
        <v>95</v>
      </c>
      <c r="J39" s="43" t="s">
        <v>121</v>
      </c>
      <c r="K39" s="43" t="s">
        <v>121</v>
      </c>
      <c r="L39" s="43">
        <v>80</v>
      </c>
      <c r="M39" s="43"/>
      <c r="N39" s="43"/>
      <c r="O39" s="44">
        <f t="shared" si="1"/>
        <v>80</v>
      </c>
      <c r="P39" s="43">
        <v>80</v>
      </c>
      <c r="Q39" s="45">
        <f t="shared" si="2"/>
        <v>85</v>
      </c>
      <c r="R39" s="40">
        <f>IFERROR(VLOOKUP(Q39,TGQC!$X$1:$Y$990,2),"0")</f>
        <v>2.25</v>
      </c>
      <c r="S39" s="40" t="str">
        <f>VLOOKUP(R39&amp;"-"&amp;T39,TGQC!$N$1:$Q$56,4,0)</f>
        <v>Passed</v>
      </c>
      <c r="T39" s="43"/>
    </row>
    <row r="40" spans="1:20" x14ac:dyDescent="0.3">
      <c r="A40" s="40">
        <v>27</v>
      </c>
      <c r="B40" s="41" t="str">
        <f>'DATA ENTRY'!B52</f>
        <v>24-QC12290</v>
      </c>
      <c r="C40" s="41" t="str">
        <f>'DATA ENTRY'!C52</f>
        <v>MAGISTRADO, RADZ EMMAN ABRIS</v>
      </c>
      <c r="D40" s="43">
        <v>80</v>
      </c>
      <c r="E40" s="43"/>
      <c r="F40" s="43"/>
      <c r="G40" s="43"/>
      <c r="H40" s="43"/>
      <c r="I40" s="44">
        <f t="shared" si="0"/>
        <v>80</v>
      </c>
      <c r="J40" s="43" t="s">
        <v>122</v>
      </c>
      <c r="K40" s="43" t="s">
        <v>122</v>
      </c>
      <c r="L40" s="43">
        <v>92</v>
      </c>
      <c r="M40" s="43"/>
      <c r="N40" s="43"/>
      <c r="O40" s="44">
        <f t="shared" si="1"/>
        <v>92</v>
      </c>
      <c r="P40" s="43">
        <v>92</v>
      </c>
      <c r="Q40" s="45">
        <f t="shared" si="2"/>
        <v>88</v>
      </c>
      <c r="R40" s="40">
        <f>IFERROR(VLOOKUP(Q40,TGQC!$X$1:$Y$990,2),"0")</f>
        <v>2</v>
      </c>
      <c r="S40" s="40" t="str">
        <f>VLOOKUP(R40&amp;"-"&amp;T40,TGQC!$N$1:$Q$56,4,0)</f>
        <v>Passed</v>
      </c>
      <c r="T40" s="43"/>
    </row>
    <row r="41" spans="1:20" x14ac:dyDescent="0.3">
      <c r="A41" s="40">
        <v>28</v>
      </c>
      <c r="B41" s="41" t="str">
        <f>'DATA ENTRY'!B53</f>
        <v>24-QC13638</v>
      </c>
      <c r="C41" s="41" t="str">
        <f>'DATA ENTRY'!C53</f>
        <v>MAMACLAY, CHRISTIAN SUMAGAYSAY</v>
      </c>
      <c r="D41" s="43">
        <v>85</v>
      </c>
      <c r="E41" s="43"/>
      <c r="F41" s="43"/>
      <c r="G41" s="43"/>
      <c r="H41" s="43"/>
      <c r="I41" s="44">
        <f t="shared" si="0"/>
        <v>85</v>
      </c>
      <c r="J41" s="43" t="s">
        <v>122</v>
      </c>
      <c r="K41" s="43" t="s">
        <v>121</v>
      </c>
      <c r="L41" s="43">
        <v>92</v>
      </c>
      <c r="M41" s="43"/>
      <c r="N41" s="43"/>
      <c r="O41" s="44">
        <f t="shared" si="1"/>
        <v>92</v>
      </c>
      <c r="P41" s="43">
        <v>92</v>
      </c>
      <c r="Q41" s="45">
        <f t="shared" si="2"/>
        <v>89.666666666666671</v>
      </c>
      <c r="R41" s="40">
        <f>IFERROR(VLOOKUP(Q41,TGQC!$X$1:$Y$990,2),"0")</f>
        <v>1.75</v>
      </c>
      <c r="S41" s="40" t="str">
        <f>VLOOKUP(R41&amp;"-"&amp;T41,TGQC!$N$1:$Q$56,4,0)</f>
        <v>Passed</v>
      </c>
      <c r="T41" s="43"/>
    </row>
    <row r="42" spans="1:20" x14ac:dyDescent="0.3">
      <c r="A42" s="40">
        <v>29</v>
      </c>
      <c r="B42" s="41" t="str">
        <f>'DATA ENTRY'!B54</f>
        <v>24-QC13903</v>
      </c>
      <c r="C42" s="41" t="str">
        <f>'DATA ENTRY'!C54</f>
        <v>NAYON, JOHN CARL MACALACAD</v>
      </c>
      <c r="D42" s="43">
        <v>95</v>
      </c>
      <c r="E42" s="43"/>
      <c r="F42" s="43"/>
      <c r="G42" s="43"/>
      <c r="H42" s="43"/>
      <c r="I42" s="44">
        <f t="shared" si="0"/>
        <v>95</v>
      </c>
      <c r="J42" s="43" t="s">
        <v>121</v>
      </c>
      <c r="K42" s="43" t="s">
        <v>121</v>
      </c>
      <c r="L42" s="43">
        <v>90</v>
      </c>
      <c r="M42" s="43"/>
      <c r="N42" s="43"/>
      <c r="O42" s="44">
        <f t="shared" si="1"/>
        <v>90</v>
      </c>
      <c r="P42" s="43">
        <v>90</v>
      </c>
      <c r="Q42" s="45">
        <f t="shared" si="2"/>
        <v>91.666666666666671</v>
      </c>
      <c r="R42" s="40">
        <f>IFERROR(VLOOKUP(Q42,TGQC!$X$1:$Y$990,2),"0")</f>
        <v>1.5</v>
      </c>
      <c r="S42" s="40" t="str">
        <f>VLOOKUP(R42&amp;"-"&amp;T42,TGQC!$N$1:$Q$56,4,0)</f>
        <v>Passed</v>
      </c>
      <c r="T42" s="43"/>
    </row>
    <row r="43" spans="1:20" x14ac:dyDescent="0.3">
      <c r="A43" s="40">
        <v>30</v>
      </c>
      <c r="B43" s="41" t="str">
        <f>'DATA ENTRY'!B55</f>
        <v>24-QC12413</v>
      </c>
      <c r="C43" s="41" t="str">
        <f>'DATA ENTRY'!C55</f>
        <v>PACULANAN, MARK DANIEL AMBUYOC</v>
      </c>
      <c r="D43" s="43">
        <v>80</v>
      </c>
      <c r="E43" s="43"/>
      <c r="F43" s="43"/>
      <c r="G43" s="43"/>
      <c r="H43" s="43"/>
      <c r="I43" s="44">
        <f t="shared" si="0"/>
        <v>80</v>
      </c>
      <c r="J43" s="43" t="s">
        <v>122</v>
      </c>
      <c r="K43" s="43" t="s">
        <v>122</v>
      </c>
      <c r="L43" s="43">
        <v>92</v>
      </c>
      <c r="M43" s="43"/>
      <c r="N43" s="43"/>
      <c r="O43" s="44">
        <f t="shared" si="1"/>
        <v>92</v>
      </c>
      <c r="P43" s="43">
        <v>92</v>
      </c>
      <c r="Q43" s="45">
        <f t="shared" si="2"/>
        <v>88</v>
      </c>
      <c r="R43" s="40">
        <f>IFERROR(VLOOKUP(Q43,TGQC!$X$1:$Y$990,2),"0")</f>
        <v>2</v>
      </c>
      <c r="S43" s="40" t="str">
        <f>VLOOKUP(R43&amp;"-"&amp;T43,TGQC!$N$1:$Q$56,4,0)</f>
        <v>Passed</v>
      </c>
      <c r="T43" s="43"/>
    </row>
    <row r="44" spans="1:20" x14ac:dyDescent="0.3">
      <c r="A44" s="40">
        <v>31</v>
      </c>
      <c r="B44" s="41" t="str">
        <f>'DATA ENTRY'!B56</f>
        <v>24-QC12733</v>
      </c>
      <c r="C44" s="41" t="str">
        <f>'DATA ENTRY'!C56</f>
        <v>PALANGDAO, CRISTAN JOSS LIMOS</v>
      </c>
      <c r="D44" s="43">
        <v>95</v>
      </c>
      <c r="E44" s="43"/>
      <c r="F44" s="43"/>
      <c r="G44" s="43"/>
      <c r="H44" s="43"/>
      <c r="I44" s="44">
        <f t="shared" si="0"/>
        <v>95</v>
      </c>
      <c r="J44" s="43" t="s">
        <v>121</v>
      </c>
      <c r="K44" s="43" t="s">
        <v>121</v>
      </c>
      <c r="L44" s="43">
        <v>99</v>
      </c>
      <c r="M44" s="43"/>
      <c r="N44" s="43"/>
      <c r="O44" s="44">
        <f t="shared" si="1"/>
        <v>99</v>
      </c>
      <c r="P44" s="43">
        <v>99</v>
      </c>
      <c r="Q44" s="45">
        <f t="shared" si="2"/>
        <v>97.666666666666671</v>
      </c>
      <c r="R44" s="40">
        <f>IFERROR(VLOOKUP(Q44,TGQC!$X$1:$Y$990,2),"0")</f>
        <v>1</v>
      </c>
      <c r="S44" s="40" t="str">
        <f>VLOOKUP(R44&amp;"-"&amp;T44,TGQC!$N$1:$Q$56,4,0)</f>
        <v>Passed</v>
      </c>
      <c r="T44" s="43"/>
    </row>
    <row r="45" spans="1:20" x14ac:dyDescent="0.3">
      <c r="A45" s="40">
        <v>32</v>
      </c>
      <c r="B45" s="41" t="str">
        <f>'DATA ENTRY'!B57</f>
        <v>24-QC13852</v>
      </c>
      <c r="C45" s="41" t="str">
        <f>'DATA ENTRY'!C57</f>
        <v>PAULAR, BENEDICT JOHN GONZALES</v>
      </c>
      <c r="D45" s="43">
        <v>85</v>
      </c>
      <c r="E45" s="43"/>
      <c r="F45" s="43"/>
      <c r="G45" s="43"/>
      <c r="H45" s="43"/>
      <c r="I45" s="44">
        <f t="shared" si="0"/>
        <v>85</v>
      </c>
      <c r="J45" s="43" t="s">
        <v>121</v>
      </c>
      <c r="K45" s="43" t="s">
        <v>122</v>
      </c>
      <c r="L45" s="43">
        <v>92</v>
      </c>
      <c r="M45" s="43"/>
      <c r="N45" s="43"/>
      <c r="O45" s="44">
        <f t="shared" si="1"/>
        <v>92</v>
      </c>
      <c r="P45" s="43">
        <v>92</v>
      </c>
      <c r="Q45" s="45">
        <f t="shared" si="2"/>
        <v>89.666666666666671</v>
      </c>
      <c r="R45" s="40">
        <f>IFERROR(VLOOKUP(Q45,TGQC!$X$1:$Y$990,2),"0")</f>
        <v>1.75</v>
      </c>
      <c r="S45" s="40" t="str">
        <f>VLOOKUP(R45&amp;"-"&amp;T45,TGQC!$N$1:$Q$56,4,0)</f>
        <v>Passed</v>
      </c>
      <c r="T45" s="43"/>
    </row>
    <row r="46" spans="1:20" x14ac:dyDescent="0.3">
      <c r="A46" s="40">
        <v>33</v>
      </c>
      <c r="B46" s="41" t="str">
        <f>'DATA ENTRY'!B58</f>
        <v>24-QC14065</v>
      </c>
      <c r="C46" s="41" t="str">
        <f>'DATA ENTRY'!C58</f>
        <v>PEÑA, CEJAY CELLO</v>
      </c>
      <c r="D46" s="43">
        <v>85</v>
      </c>
      <c r="E46" s="43"/>
      <c r="F46" s="43"/>
      <c r="G46" s="43"/>
      <c r="H46" s="43"/>
      <c r="I46" s="44">
        <f t="shared" si="0"/>
        <v>85</v>
      </c>
      <c r="J46" s="43" t="s">
        <v>121</v>
      </c>
      <c r="K46" s="43" t="s">
        <v>122</v>
      </c>
      <c r="L46" s="43">
        <v>98</v>
      </c>
      <c r="M46" s="43"/>
      <c r="N46" s="43"/>
      <c r="O46" s="44">
        <f t="shared" si="1"/>
        <v>98</v>
      </c>
      <c r="P46" s="43">
        <v>98</v>
      </c>
      <c r="Q46" s="45">
        <f t="shared" si="2"/>
        <v>93.666666666666671</v>
      </c>
      <c r="R46" s="40">
        <f>IFERROR(VLOOKUP(Q46,TGQC!$X$1:$Y$990,2),"0")</f>
        <v>1.5</v>
      </c>
      <c r="S46" s="40" t="str">
        <f>VLOOKUP(R46&amp;"-"&amp;T46,TGQC!$N$1:$Q$56,4,0)</f>
        <v>Passed</v>
      </c>
      <c r="T46" s="43"/>
    </row>
    <row r="47" spans="1:20" x14ac:dyDescent="0.3">
      <c r="A47" s="40">
        <v>34</v>
      </c>
      <c r="B47" s="41" t="str">
        <f>'DATA ENTRY'!B59</f>
        <v>24-QC12125</v>
      </c>
      <c r="C47" s="41" t="str">
        <f>'DATA ENTRY'!C59</f>
        <v>PURISIMA, KRISHA ANN BUCO</v>
      </c>
      <c r="D47" s="43">
        <v>95</v>
      </c>
      <c r="E47" s="43"/>
      <c r="F47" s="43"/>
      <c r="G47" s="43"/>
      <c r="H47" s="43"/>
      <c r="I47" s="44">
        <f t="shared" si="0"/>
        <v>95</v>
      </c>
      <c r="J47" s="43" t="s">
        <v>121</v>
      </c>
      <c r="K47" s="43" t="s">
        <v>121</v>
      </c>
      <c r="L47" s="43">
        <v>95</v>
      </c>
      <c r="M47" s="43"/>
      <c r="N47" s="43"/>
      <c r="O47" s="44">
        <f t="shared" si="1"/>
        <v>95</v>
      </c>
      <c r="P47" s="43">
        <v>95</v>
      </c>
      <c r="Q47" s="45">
        <f t="shared" si="2"/>
        <v>95</v>
      </c>
      <c r="R47" s="40">
        <f>IFERROR(VLOOKUP(Q47,TGQC!$X$1:$Y$990,2),"0")</f>
        <v>1.25</v>
      </c>
      <c r="S47" s="40" t="str">
        <f>VLOOKUP(R47&amp;"-"&amp;T47,TGQC!$N$1:$Q$56,4,0)</f>
        <v>Passed</v>
      </c>
      <c r="T47" s="43"/>
    </row>
    <row r="48" spans="1:20" x14ac:dyDescent="0.3">
      <c r="A48" s="40">
        <v>35</v>
      </c>
      <c r="B48" s="41" t="str">
        <f>'DATA ENTRY'!B60</f>
        <v>24-QC12818</v>
      </c>
      <c r="C48" s="41" t="str">
        <f>'DATA ENTRY'!C60</f>
        <v>SESE, GERALDINO CARIÑO JR</v>
      </c>
      <c r="D48" s="43">
        <v>95</v>
      </c>
      <c r="E48" s="43"/>
      <c r="F48" s="43"/>
      <c r="G48" s="43"/>
      <c r="H48" s="43"/>
      <c r="I48" s="44">
        <f t="shared" si="0"/>
        <v>95</v>
      </c>
      <c r="J48" s="43" t="s">
        <v>121</v>
      </c>
      <c r="K48" s="43" t="s">
        <v>121</v>
      </c>
      <c r="L48" s="43">
        <v>92</v>
      </c>
      <c r="M48" s="43"/>
      <c r="N48" s="43"/>
      <c r="O48" s="44">
        <f t="shared" si="1"/>
        <v>92</v>
      </c>
      <c r="P48" s="43">
        <v>92</v>
      </c>
      <c r="Q48" s="45">
        <f t="shared" si="2"/>
        <v>93</v>
      </c>
      <c r="R48" s="40">
        <f>IFERROR(VLOOKUP(Q48,TGQC!$X$1:$Y$990,2),"0")</f>
        <v>1.5</v>
      </c>
      <c r="S48" s="40" t="str">
        <f>VLOOKUP(R48&amp;"-"&amp;T48,TGQC!$N$1:$Q$56,4,0)</f>
        <v>Passed</v>
      </c>
      <c r="T48" s="43"/>
    </row>
    <row r="49" spans="1:20" x14ac:dyDescent="0.3">
      <c r="A49" s="40">
        <v>36</v>
      </c>
      <c r="B49" s="41" t="str">
        <f>'DATA ENTRY'!B61</f>
        <v>24-QC13100</v>
      </c>
      <c r="C49" s="41" t="str">
        <f>'DATA ENTRY'!C61</f>
        <v>SUBIDA, THERESE ANGELI CASTRO</v>
      </c>
      <c r="D49" s="43">
        <v>95</v>
      </c>
      <c r="E49" s="43"/>
      <c r="F49" s="43"/>
      <c r="G49" s="43"/>
      <c r="H49" s="43"/>
      <c r="I49" s="44">
        <f t="shared" si="0"/>
        <v>95</v>
      </c>
      <c r="J49" s="43" t="s">
        <v>121</v>
      </c>
      <c r="K49" s="43" t="s">
        <v>121</v>
      </c>
      <c r="L49" s="43">
        <v>88</v>
      </c>
      <c r="M49" s="43"/>
      <c r="N49" s="43"/>
      <c r="O49" s="44">
        <f t="shared" si="1"/>
        <v>88</v>
      </c>
      <c r="P49" s="43">
        <v>88</v>
      </c>
      <c r="Q49" s="45">
        <f t="shared" si="2"/>
        <v>90.333333333333329</v>
      </c>
      <c r="R49" s="40">
        <f>IFERROR(VLOOKUP(Q49,TGQC!$X$1:$Y$990,2),"0")</f>
        <v>1.75</v>
      </c>
      <c r="S49" s="40" t="str">
        <f>VLOOKUP(R49&amp;"-"&amp;T49,TGQC!$N$1:$Q$56,4,0)</f>
        <v>Passed</v>
      </c>
      <c r="T49" s="43"/>
    </row>
    <row r="50" spans="1:20" x14ac:dyDescent="0.3">
      <c r="A50" s="40">
        <v>37</v>
      </c>
      <c r="B50" s="41" t="str">
        <f>'DATA ENTRY'!B62</f>
        <v>24-QC13520</v>
      </c>
      <c r="C50" s="41" t="str">
        <f>'DATA ENTRY'!C62</f>
        <v>TAN, CHRISJAN GABRIEL SAGARIO</v>
      </c>
      <c r="D50" s="43">
        <v>95</v>
      </c>
      <c r="E50" s="43"/>
      <c r="F50" s="43"/>
      <c r="G50" s="43"/>
      <c r="H50" s="43"/>
      <c r="I50" s="44">
        <f t="shared" si="0"/>
        <v>95</v>
      </c>
      <c r="J50" s="43" t="s">
        <v>121</v>
      </c>
      <c r="K50" s="43" t="s">
        <v>121</v>
      </c>
      <c r="L50" s="43">
        <v>100</v>
      </c>
      <c r="M50" s="43"/>
      <c r="N50" s="43"/>
      <c r="O50" s="44">
        <f t="shared" si="1"/>
        <v>100</v>
      </c>
      <c r="P50" s="43">
        <v>100</v>
      </c>
      <c r="Q50" s="45">
        <f t="shared" si="2"/>
        <v>98.333333333333329</v>
      </c>
      <c r="R50" s="40">
        <f>IFERROR(VLOOKUP(Q50,TGQC!$X$1:$Y$990,2),"0")</f>
        <v>1</v>
      </c>
      <c r="S50" s="40" t="str">
        <f>VLOOKUP(R50&amp;"-"&amp;T50,TGQC!$N$1:$Q$56,4,0)</f>
        <v>Passed</v>
      </c>
      <c r="T50" s="43"/>
    </row>
    <row r="51" spans="1:20" x14ac:dyDescent="0.3">
      <c r="A51" s="40">
        <v>38</v>
      </c>
      <c r="B51" s="41" t="str">
        <f>'DATA ENTRY'!B63</f>
        <v>23-QC04979</v>
      </c>
      <c r="C51" s="41" t="str">
        <f>'DATA ENTRY'!C63</f>
        <v>TULA, MALIC ANGCAS</v>
      </c>
      <c r="D51" s="43">
        <v>95</v>
      </c>
      <c r="E51" s="43"/>
      <c r="F51" s="43"/>
      <c r="G51" s="43"/>
      <c r="H51" s="43"/>
      <c r="I51" s="44">
        <f t="shared" si="0"/>
        <v>95</v>
      </c>
      <c r="J51" s="43" t="s">
        <v>121</v>
      </c>
      <c r="K51" s="43" t="s">
        <v>121</v>
      </c>
      <c r="L51" s="43">
        <v>92</v>
      </c>
      <c r="M51" s="43"/>
      <c r="N51" s="43"/>
      <c r="O51" s="44">
        <f t="shared" si="1"/>
        <v>92</v>
      </c>
      <c r="P51" s="43">
        <v>92</v>
      </c>
      <c r="Q51" s="45">
        <f t="shared" si="2"/>
        <v>93</v>
      </c>
      <c r="R51" s="40">
        <f>IFERROR(VLOOKUP(Q51,TGQC!$X$1:$Y$990,2),"0")</f>
        <v>1.5</v>
      </c>
      <c r="S51" s="40" t="str">
        <f>VLOOKUP(R51&amp;"-"&amp;T51,TGQC!$N$1:$Q$56,4,0)</f>
        <v>Passed</v>
      </c>
      <c r="T51" s="43"/>
    </row>
    <row r="52" spans="1:20" x14ac:dyDescent="0.3">
      <c r="A52" s="40">
        <v>39</v>
      </c>
      <c r="B52" s="41" t="str">
        <f>'DATA ENTRY'!B64</f>
        <v>24-QC13844</v>
      </c>
      <c r="C52" s="41" t="str">
        <f>'DATA ENTRY'!C64</f>
        <v>VALDERAMA, KEISHA ABIGAIL ARROYO</v>
      </c>
      <c r="D52" s="43">
        <v>95</v>
      </c>
      <c r="E52" s="43"/>
      <c r="F52" s="43"/>
      <c r="G52" s="43"/>
      <c r="H52" s="43"/>
      <c r="I52" s="44">
        <f t="shared" si="0"/>
        <v>95</v>
      </c>
      <c r="J52" s="43" t="s">
        <v>121</v>
      </c>
      <c r="K52" s="43" t="s">
        <v>121</v>
      </c>
      <c r="L52" s="43">
        <v>95</v>
      </c>
      <c r="M52" s="43"/>
      <c r="N52" s="43"/>
      <c r="O52" s="44">
        <f t="shared" si="1"/>
        <v>95</v>
      </c>
      <c r="P52" s="43">
        <v>95</v>
      </c>
      <c r="Q52" s="45">
        <f t="shared" si="2"/>
        <v>95</v>
      </c>
      <c r="R52" s="40">
        <f>IFERROR(VLOOKUP(Q52,TGQC!$X$1:$Y$990,2),"0")</f>
        <v>1.25</v>
      </c>
      <c r="S52" s="40" t="str">
        <f>VLOOKUP(R52&amp;"-"&amp;T52,TGQC!$N$1:$Q$56,4,0)</f>
        <v>Passed</v>
      </c>
      <c r="T52" s="43"/>
    </row>
    <row r="53" spans="1:20" x14ac:dyDescent="0.3">
      <c r="A53" s="40">
        <v>40</v>
      </c>
      <c r="B53" s="41" t="str">
        <f>'DATA ENTRY'!B65</f>
        <v>24-QC14102</v>
      </c>
      <c r="C53" s="41" t="str">
        <f>'DATA ENTRY'!C65</f>
        <v>VELASCO, KIM ANTONETTE LINDONG</v>
      </c>
      <c r="D53" s="43">
        <v>85</v>
      </c>
      <c r="E53" s="43"/>
      <c r="F53" s="43"/>
      <c r="G53" s="43"/>
      <c r="H53" s="43"/>
      <c r="I53" s="44">
        <f t="shared" si="0"/>
        <v>85</v>
      </c>
      <c r="J53" s="43" t="s">
        <v>122</v>
      </c>
      <c r="K53" s="43" t="s">
        <v>122</v>
      </c>
      <c r="L53" s="43">
        <v>75</v>
      </c>
      <c r="M53" s="43"/>
      <c r="N53" s="43"/>
      <c r="O53" s="44">
        <f t="shared" si="1"/>
        <v>75</v>
      </c>
      <c r="P53" s="43">
        <v>75</v>
      </c>
      <c r="Q53" s="45">
        <f t="shared" si="2"/>
        <v>78.333333333333329</v>
      </c>
      <c r="R53" s="40">
        <f>IFERROR(VLOOKUP(Q53,TGQC!$X$1:$Y$990,2),"0")</f>
        <v>2.75</v>
      </c>
      <c r="S53" s="40" t="str">
        <f>VLOOKUP(R53&amp;"-"&amp;T53,TGQC!$N$1:$Q$56,4,0)</f>
        <v>Passed</v>
      </c>
      <c r="T53" s="43"/>
    </row>
    <row r="54" spans="1:20" x14ac:dyDescent="0.3">
      <c r="A54" s="40">
        <v>41</v>
      </c>
      <c r="B54" s="41" t="str">
        <f>'DATA ENTRY'!B66</f>
        <v>24-QC13208</v>
      </c>
      <c r="C54" s="41" t="str">
        <f>'DATA ENTRY'!C66</f>
        <v>VERECIO, ANGEL FAITH CIANO</v>
      </c>
      <c r="D54" s="43">
        <v>95</v>
      </c>
      <c r="E54" s="43"/>
      <c r="F54" s="43"/>
      <c r="G54" s="43"/>
      <c r="H54" s="43"/>
      <c r="I54" s="44">
        <f t="shared" si="0"/>
        <v>95</v>
      </c>
      <c r="J54" s="43" t="s">
        <v>121</v>
      </c>
      <c r="K54" s="43" t="s">
        <v>121</v>
      </c>
      <c r="L54" s="43">
        <v>95</v>
      </c>
      <c r="M54" s="43"/>
      <c r="N54" s="43"/>
      <c r="O54" s="44">
        <f t="shared" si="1"/>
        <v>95</v>
      </c>
      <c r="P54" s="43">
        <v>95</v>
      </c>
      <c r="Q54" s="45">
        <f t="shared" si="2"/>
        <v>95</v>
      </c>
      <c r="R54" s="40">
        <f>IFERROR(VLOOKUP(Q54,TGQC!$X$1:$Y$990,2),"0")</f>
        <v>1.25</v>
      </c>
      <c r="S54" s="40" t="str">
        <f>VLOOKUP(R54&amp;"-"&amp;T54,TGQC!$N$1:$Q$56,4,0)</f>
        <v>Passed</v>
      </c>
      <c r="T54" s="43"/>
    </row>
    <row r="55" spans="1:20" x14ac:dyDescent="0.3">
      <c r="A55" s="40">
        <v>42</v>
      </c>
      <c r="B55" s="41" t="str">
        <f>'DATA ENTRY'!B67</f>
        <v>24-QC13179</v>
      </c>
      <c r="C55" s="41" t="str">
        <f>'DATA ENTRY'!C67</f>
        <v>VILLAMOR, CHELSEY ANNE</v>
      </c>
      <c r="D55" s="43">
        <v>95</v>
      </c>
      <c r="E55" s="43"/>
      <c r="F55" s="43"/>
      <c r="G55" s="43"/>
      <c r="H55" s="43"/>
      <c r="I55" s="44">
        <f t="shared" si="0"/>
        <v>95</v>
      </c>
      <c r="J55" s="43" t="s">
        <v>121</v>
      </c>
      <c r="K55" s="43" t="s">
        <v>121</v>
      </c>
      <c r="L55" s="43">
        <v>100</v>
      </c>
      <c r="M55" s="43"/>
      <c r="N55" s="43"/>
      <c r="O55" s="44">
        <f t="shared" si="1"/>
        <v>100</v>
      </c>
      <c r="P55" s="43">
        <v>100</v>
      </c>
      <c r="Q55" s="45">
        <f t="shared" si="2"/>
        <v>98.333333333333329</v>
      </c>
      <c r="R55" s="40">
        <f>IFERROR(VLOOKUP(Q55,TGQC!$X$1:$Y$990,2),"0")</f>
        <v>1</v>
      </c>
      <c r="S55" s="40" t="str">
        <f>VLOOKUP(R55&amp;"-"&amp;T55,TGQC!$N$1:$Q$56,4,0)</f>
        <v>Passed</v>
      </c>
      <c r="T55" s="43"/>
    </row>
    <row r="56" spans="1:20" x14ac:dyDescent="0.3">
      <c r="A56" s="40">
        <v>43</v>
      </c>
      <c r="B56" s="41" t="str">
        <f>'DATA ENTRY'!B68</f>
        <v>24-QC13435</v>
      </c>
      <c r="C56" s="41" t="str">
        <f>'DATA ENTRY'!C68</f>
        <v>YABUT, CARYSE AMARA UNTALAN</v>
      </c>
      <c r="D56" s="43">
        <v>95</v>
      </c>
      <c r="E56" s="43"/>
      <c r="F56" s="43"/>
      <c r="G56" s="43"/>
      <c r="H56" s="43"/>
      <c r="I56" s="44">
        <f t="shared" si="0"/>
        <v>95</v>
      </c>
      <c r="J56" s="43" t="s">
        <v>121</v>
      </c>
      <c r="K56" s="43" t="s">
        <v>121</v>
      </c>
      <c r="L56" s="43">
        <v>98</v>
      </c>
      <c r="M56" s="43"/>
      <c r="N56" s="43"/>
      <c r="O56" s="44">
        <f t="shared" si="1"/>
        <v>98</v>
      </c>
      <c r="P56" s="43">
        <v>98</v>
      </c>
      <c r="Q56" s="45">
        <f t="shared" si="2"/>
        <v>97</v>
      </c>
      <c r="R56" s="40">
        <f>IFERROR(VLOOKUP(Q56,TGQC!$X$1:$Y$990,2),"0")</f>
        <v>1.25</v>
      </c>
      <c r="S56" s="40" t="str">
        <f>VLOOKUP(R56&amp;"-"&amp;T56,TGQC!$N$1:$Q$56,4,0)</f>
        <v>Passed</v>
      </c>
      <c r="T56" s="43"/>
    </row>
    <row r="57" spans="1:20" x14ac:dyDescent="0.3">
      <c r="A57" s="40">
        <v>44</v>
      </c>
      <c r="B57" s="41">
        <f>'DATA ENTRY'!B69</f>
        <v>0</v>
      </c>
      <c r="C57" s="41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str">
        <f>IFERROR(VLOOKUP(Q57,TGQC!$X$1:$Y$990,2),"0")</f>
        <v>0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>
        <f>'DATA ENTRY'!B70</f>
        <v>0</v>
      </c>
      <c r="C58" s="41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str">
        <f>IFERROR(VLOOKUP(Q58,TGQC!$X$1:$Y$990,2),"0")</f>
        <v>0</v>
      </c>
      <c r="S58" s="40" t="str">
        <f>VLOOKUP(R58&amp;"-"&amp;T58,TGQC!$N$1:$Q$56,4,0)</f>
        <v>Failed</v>
      </c>
      <c r="T58" s="43"/>
    </row>
    <row r="59" spans="1:20" x14ac:dyDescent="0.3">
      <c r="A59" s="40">
        <v>46</v>
      </c>
      <c r="B59" s="41">
        <f>'DATA ENTRY'!B71</f>
        <v>0</v>
      </c>
      <c r="C59" s="41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str">
        <f>IFERROR(VLOOKUP(Q59,TGQC!$X$1:$Y$990,2),"0")</f>
        <v>0</v>
      </c>
      <c r="S59" s="40" t="str">
        <f>VLOOKUP(R59&amp;"-"&amp;T59,TGQC!$N$1:$Q$56,4,0)</f>
        <v>Failed</v>
      </c>
      <c r="T59" s="43"/>
    </row>
    <row r="60" spans="1:20" x14ac:dyDescent="0.3">
      <c r="A60" s="40">
        <v>47</v>
      </c>
      <c r="B60" s="41">
        <f>'DATA ENTRY'!B72</f>
        <v>0</v>
      </c>
      <c r="C60" s="41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str">
        <f>IFERROR(VLOOKUP(Q60,TGQC!$X$1:$Y$990,2),"0")</f>
        <v>0</v>
      </c>
      <c r="S60" s="40" t="str">
        <f>VLOOKUP(R60&amp;"-"&amp;T60,TGQC!$N$1:$Q$56,4,0)</f>
        <v>Failed</v>
      </c>
      <c r="T60" s="43"/>
    </row>
    <row r="61" spans="1:20" x14ac:dyDescent="0.3">
      <c r="A61" s="40">
        <v>48</v>
      </c>
      <c r="B61" s="41">
        <f>'DATA ENTRY'!B73</f>
        <v>0</v>
      </c>
      <c r="C61" s="41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str">
        <f>IFERROR(VLOOKUP(Q61,TGQC!$X$1:$Y$990,2),"0")</f>
        <v>0</v>
      </c>
      <c r="S61" s="40" t="str">
        <f>VLOOKUP(R61&amp;"-"&amp;T61,TGQC!$N$1:$Q$56,4,0)</f>
        <v>Failed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A1:S1"/>
    <mergeCell ref="A2:S2"/>
    <mergeCell ref="A3:S3"/>
    <mergeCell ref="A4:S4"/>
    <mergeCell ref="K5:M5"/>
    <mergeCell ref="Q5:R5"/>
    <mergeCell ref="A12:A13"/>
    <mergeCell ref="B12:B13"/>
    <mergeCell ref="C12:C13"/>
    <mergeCell ref="D12:H12"/>
    <mergeCell ref="I12:I13"/>
    <mergeCell ref="K6:M6"/>
    <mergeCell ref="Q6:R6"/>
    <mergeCell ref="K7:M7"/>
    <mergeCell ref="K8:M8"/>
    <mergeCell ref="C9:H9"/>
    <mergeCell ref="T12:T13"/>
    <mergeCell ref="J12:N12"/>
    <mergeCell ref="O12:O13"/>
    <mergeCell ref="P12:P13"/>
    <mergeCell ref="Q12:Q13"/>
    <mergeCell ref="R12:R13"/>
    <mergeCell ref="S12:S13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disablePrompts="1"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23" zoomScale="130" zoomScaleNormal="130" zoomScaleSheetLayoutView="130" workbookViewId="0">
      <selection activeCell="F37" sqref="E37:F37"/>
    </sheetView>
  </sheetViews>
  <sheetFormatPr defaultColWidth="9.2187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21875" style="49"/>
  </cols>
  <sheetData>
    <row r="1" spans="1:10" ht="23.4" x14ac:dyDescent="0.4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58"/>
    </row>
    <row r="2" spans="1:10" x14ac:dyDescent="0.25">
      <c r="A2" s="73" t="str">
        <f>'DATA ENTRY'!E6</f>
        <v>Antipolo City</v>
      </c>
      <c r="B2" s="73"/>
      <c r="C2" s="73"/>
      <c r="D2" s="73"/>
      <c r="E2" s="73"/>
      <c r="F2" s="73"/>
      <c r="G2" s="73"/>
      <c r="H2" s="73"/>
      <c r="I2" s="73"/>
    </row>
    <row r="3" spans="1:10" x14ac:dyDescent="0.25">
      <c r="A3" s="93" t="s">
        <v>114</v>
      </c>
      <c r="B3" s="73"/>
      <c r="C3" s="73"/>
      <c r="D3" s="73"/>
      <c r="E3" s="73"/>
      <c r="F3" s="73"/>
      <c r="G3" s="73"/>
      <c r="H3" s="73"/>
      <c r="I3" s="73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4">
        <f>'DATA ENTRY'!C9</f>
        <v>0</v>
      </c>
      <c r="I4" s="94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77">
        <f>'DATA ENTRY'!C18</f>
        <v>0</v>
      </c>
      <c r="H6" s="77"/>
      <c r="I6" s="77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77">
        <f>'DATA ENTRY'!C19</f>
        <v>0</v>
      </c>
      <c r="H7" s="77"/>
      <c r="I7" s="77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77">
        <f>'DATA ENTRY'!C20</f>
        <v>0</v>
      </c>
      <c r="H8" s="77"/>
      <c r="I8" s="77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77">
        <f>'DATA ENTRY'!C21</f>
        <v>0</v>
      </c>
      <c r="H9" s="77"/>
      <c r="I9" s="77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77">
        <f>'DATA ENTRY'!E13</f>
        <v>0</v>
      </c>
      <c r="H10" s="77"/>
      <c r="I10" s="77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24-QC13447</v>
      </c>
      <c r="C14" s="55" t="str">
        <f>'DATA ENTRY'!C26</f>
        <v>ACOB, TRIXIE JUNIO</v>
      </c>
      <c r="D14" s="56">
        <f>PRELIM!Q14</f>
        <v>92.8888888888889</v>
      </c>
      <c r="E14" s="56">
        <f>MIDTERM!Q14</f>
        <v>88.333333333333329</v>
      </c>
      <c r="F14" s="56">
        <f>FINAL!Q14</f>
        <v>93</v>
      </c>
      <c r="G14" s="57">
        <f>SUM(D14:F14)/3</f>
        <v>91.407407407407405</v>
      </c>
      <c r="H14" s="40">
        <f>VLOOKUP(G14,TGQC!$X$1:$Y$990,2)</f>
        <v>1.75</v>
      </c>
      <c r="I14" s="40" t="str">
        <f>VLOOKUP(H14,TGQC!$H$1:$I$13,2)</f>
        <v>Passed</v>
      </c>
      <c r="J14" s="40" t="str">
        <f>VLOOKUP(I14&amp;"-"&amp;FINAL!S14,TGQC!$S$1:$V$10,4,0)</f>
        <v>Passed</v>
      </c>
    </row>
    <row r="15" spans="1:10" x14ac:dyDescent="0.25">
      <c r="A15" s="40">
        <v>2</v>
      </c>
      <c r="B15" s="40" t="str">
        <f>'DATA ENTRY'!B27</f>
        <v>24-QC12756</v>
      </c>
      <c r="C15" s="55" t="str">
        <f>'DATA ENTRY'!C27</f>
        <v>ACOSTA, DANNMICHAEL DULLA</v>
      </c>
      <c r="D15" s="56">
        <f>PRELIM!Q15</f>
        <v>90.8888888888889</v>
      </c>
      <c r="E15" s="56">
        <f>MIDTERM!Q15</f>
        <v>81.666666666666671</v>
      </c>
      <c r="F15" s="56">
        <f>FINAL!Q15</f>
        <v>90</v>
      </c>
      <c r="G15" s="57">
        <f t="shared" ref="G15:G78" si="0">SUM(D15:F15)/3</f>
        <v>87.518518518518519</v>
      </c>
      <c r="H15" s="40">
        <f>VLOOKUP(G15,TGQC!$X$1:$Y$990,2)</f>
        <v>2</v>
      </c>
      <c r="I15" s="40" t="str">
        <f>VLOOKUP(H15,TGQC!$H$1:$I$13,2)</f>
        <v>Passed</v>
      </c>
      <c r="J15" s="40" t="str">
        <f>VLOOKUP(I15&amp;"-"&amp;FINAL!S15,TGQC!$S$1:$V$10,4,0)</f>
        <v>Passed</v>
      </c>
    </row>
    <row r="16" spans="1:10" x14ac:dyDescent="0.25">
      <c r="A16" s="40">
        <v>3</v>
      </c>
      <c r="B16" s="40" t="str">
        <f>'DATA ENTRY'!B28</f>
        <v>24-QC12714</v>
      </c>
      <c r="C16" s="55" t="str">
        <f>'DATA ENTRY'!C28</f>
        <v>AGUILAR, KIMBERLY ASHLEY CALUMPIT</v>
      </c>
      <c r="D16" s="56">
        <f>PRELIM!Q16</f>
        <v>98</v>
      </c>
      <c r="E16" s="56">
        <f>MIDTERM!Q16</f>
        <v>98</v>
      </c>
      <c r="F16" s="56">
        <f>FINAL!Q16</f>
        <v>98.333333333333329</v>
      </c>
      <c r="G16" s="57">
        <f t="shared" si="0"/>
        <v>98.1111111111111</v>
      </c>
      <c r="H16" s="40">
        <f>VLOOKUP(G16,TGQC!$X$1:$Y$990,2)</f>
        <v>1</v>
      </c>
      <c r="I16" s="40" t="str">
        <f>VLOOKUP(H16,TGQC!$H$1:$I$13,2)</f>
        <v>Passed</v>
      </c>
      <c r="J16" s="40" t="str">
        <f>VLOOKUP(I16&amp;"-"&amp;FINAL!S16,TGQC!$S$1:$V$10,4,0)</f>
        <v>Passed</v>
      </c>
    </row>
    <row r="17" spans="1:10" x14ac:dyDescent="0.25">
      <c r="A17" s="40">
        <v>4</v>
      </c>
      <c r="B17" s="40" t="str">
        <f>'DATA ENTRY'!B29</f>
        <v>24-QC13807</v>
      </c>
      <c r="C17" s="55" t="str">
        <f>'DATA ENTRY'!C29</f>
        <v>ARANDIA, JOHN PAUL TAGULAO</v>
      </c>
      <c r="D17" s="56">
        <f>PRELIM!Q17</f>
        <v>92.333333333333329</v>
      </c>
      <c r="E17" s="56">
        <f>MIDTERM!Q17</f>
        <v>90</v>
      </c>
      <c r="F17" s="56">
        <f>FINAL!Q17</f>
        <v>95</v>
      </c>
      <c r="G17" s="57">
        <f t="shared" si="0"/>
        <v>92.444444444444443</v>
      </c>
      <c r="H17" s="40">
        <f>VLOOKUP(G17,TGQC!$X$1:$Y$990,2)</f>
        <v>1.5</v>
      </c>
      <c r="I17" s="40" t="str">
        <f>VLOOKUP(H17,TGQC!$H$1:$I$13,2)</f>
        <v>Passed</v>
      </c>
      <c r="J17" s="40" t="str">
        <f>VLOOKUP(I17&amp;"-"&amp;FINAL!S17,TGQC!$S$1:$V$10,4,0)</f>
        <v>Passed</v>
      </c>
    </row>
    <row r="18" spans="1:10" x14ac:dyDescent="0.25">
      <c r="A18" s="40">
        <v>5</v>
      </c>
      <c r="B18" s="40" t="str">
        <f>'DATA ENTRY'!B30</f>
        <v>24-QC13547</v>
      </c>
      <c r="C18" s="55" t="str">
        <f>'DATA ENTRY'!C30</f>
        <v>AROCHA, NESHANEL</v>
      </c>
      <c r="D18" s="56">
        <f>PRELIM!Q18</f>
        <v>78.8888888888889</v>
      </c>
      <c r="E18" s="56">
        <f>MIDTERM!Q18</f>
        <v>80</v>
      </c>
      <c r="F18" s="56">
        <f>FINAL!Q18</f>
        <v>85</v>
      </c>
      <c r="G18" s="57">
        <f t="shared" si="0"/>
        <v>81.296296296296305</v>
      </c>
      <c r="H18" s="40">
        <f>VLOOKUP(G18,TGQC!$X$1:$Y$990,2)</f>
        <v>2.5</v>
      </c>
      <c r="I18" s="40" t="str">
        <f>VLOOKUP(H18,TGQC!$H$1:$I$13,2)</f>
        <v>Passed</v>
      </c>
      <c r="J18" s="40" t="str">
        <f>VLOOKUP(I18&amp;"-"&amp;FINAL!S18,TGQC!$S$1:$V$10,4,0)</f>
        <v>Passed</v>
      </c>
    </row>
    <row r="19" spans="1:10" x14ac:dyDescent="0.25">
      <c r="A19" s="40">
        <v>6</v>
      </c>
      <c r="B19" s="40" t="str">
        <f>'DATA ENTRY'!B31</f>
        <v>24-QC13905</v>
      </c>
      <c r="C19" s="55" t="str">
        <f>'DATA ENTRY'!C31</f>
        <v>ARRIOLA, GABRIEL PEHID</v>
      </c>
      <c r="D19" s="56">
        <f>PRELIM!Q19</f>
        <v>84.1111111111111</v>
      </c>
      <c r="E19" s="56">
        <f>MIDTERM!Q19</f>
        <v>96.666666666666671</v>
      </c>
      <c r="F19" s="56">
        <f>FINAL!Q19</f>
        <v>89.666666666666671</v>
      </c>
      <c r="G19" s="57">
        <f t="shared" si="0"/>
        <v>90.148148148148152</v>
      </c>
      <c r="H19" s="40">
        <f>VLOOKUP(G19,TGQC!$X$1:$Y$990,2)</f>
        <v>1.75</v>
      </c>
      <c r="I19" s="40" t="str">
        <f>VLOOKUP(H19,TGQC!$H$1:$I$13,2)</f>
        <v>Passed</v>
      </c>
      <c r="J19" s="40" t="str">
        <f>VLOOKUP(I19&amp;"-"&amp;FINAL!S19,TGQC!$S$1:$V$10,4,0)</f>
        <v>Passed</v>
      </c>
    </row>
    <row r="20" spans="1:10" x14ac:dyDescent="0.25">
      <c r="A20" s="40">
        <v>7</v>
      </c>
      <c r="B20" s="40" t="str">
        <f>'DATA ENTRY'!B32</f>
        <v>23-QC03433</v>
      </c>
      <c r="C20" s="55" t="str">
        <f>'DATA ENTRY'!C32</f>
        <v>AVILES, ANTONIO TITOY</v>
      </c>
      <c r="D20" s="56">
        <f>PRELIM!Q20</f>
        <v>88.555555555555557</v>
      </c>
      <c r="E20" s="56">
        <f>MIDTERM!Q20</f>
        <v>95</v>
      </c>
      <c r="F20" s="56">
        <f>FINAL!Q20</f>
        <v>88</v>
      </c>
      <c r="G20" s="57">
        <f t="shared" si="0"/>
        <v>90.518518518518519</v>
      </c>
      <c r="H20" s="40">
        <f>VLOOKUP(G20,TGQC!$X$1:$Y$990,2)</f>
        <v>1.75</v>
      </c>
      <c r="I20" s="40" t="str">
        <f>VLOOKUP(H20,TGQC!$H$1:$I$13,2)</f>
        <v>Passed</v>
      </c>
      <c r="J20" s="40" t="str">
        <f>VLOOKUP(I20&amp;"-"&amp;FINAL!S20,TGQC!$S$1:$V$10,4,0)</f>
        <v>Passed</v>
      </c>
    </row>
    <row r="21" spans="1:10" x14ac:dyDescent="0.25">
      <c r="A21" s="40">
        <v>8</v>
      </c>
      <c r="B21" s="40" t="str">
        <f>'DATA ENTRY'!B33</f>
        <v>24-QC12867</v>
      </c>
      <c r="C21" s="55" t="str">
        <f>'DATA ENTRY'!C33</f>
        <v>BASILIO, CHARLES PLURAL</v>
      </c>
      <c r="D21" s="56">
        <f>PRELIM!Q21</f>
        <v>97.333333333333329</v>
      </c>
      <c r="E21" s="56">
        <f>MIDTERM!Q21</f>
        <v>98</v>
      </c>
      <c r="F21" s="56">
        <f>FINAL!Q21</f>
        <v>97.666666666666671</v>
      </c>
      <c r="G21" s="57">
        <f t="shared" si="0"/>
        <v>97.666666666666671</v>
      </c>
      <c r="H21" s="40">
        <f>VLOOKUP(G21,TGQC!$X$1:$Y$990,2)</f>
        <v>1</v>
      </c>
      <c r="I21" s="40" t="str">
        <f>VLOOKUP(H21,TGQC!$H$1:$I$13,2)</f>
        <v>Passed</v>
      </c>
      <c r="J21" s="40" t="str">
        <f>VLOOKUP(I21&amp;"-"&amp;FINAL!S21,TGQC!$S$1:$V$10,4,0)</f>
        <v>Passed</v>
      </c>
    </row>
    <row r="22" spans="1:10" x14ac:dyDescent="0.25">
      <c r="A22" s="40">
        <v>9</v>
      </c>
      <c r="B22" s="40" t="str">
        <f>'DATA ENTRY'!B34</f>
        <v>24-QC14612</v>
      </c>
      <c r="C22" s="55" t="str">
        <f>'DATA ENTRY'!C34</f>
        <v>BRINGINO, RALPH REGOR</v>
      </c>
      <c r="D22" s="56">
        <f>PRELIM!Q22</f>
        <v>85.555555555555557</v>
      </c>
      <c r="E22" s="56">
        <f>MIDTERM!Q22</f>
        <v>93.333333333333329</v>
      </c>
      <c r="F22" s="56">
        <f>FINAL!Q22</f>
        <v>88</v>
      </c>
      <c r="G22" s="57">
        <f t="shared" si="0"/>
        <v>88.962962962962976</v>
      </c>
      <c r="H22" s="40">
        <f>VLOOKUP(G22,TGQC!$X$1:$Y$990,2)</f>
        <v>1.75</v>
      </c>
      <c r="I22" s="40" t="str">
        <f>VLOOKUP(H22,TGQC!$H$1:$I$13,2)</f>
        <v>Passed</v>
      </c>
      <c r="J22" s="40" t="str">
        <f>VLOOKUP(I22&amp;"-"&amp;FINAL!S22,TGQC!$S$1:$V$10,4,0)</f>
        <v>Passed</v>
      </c>
    </row>
    <row r="23" spans="1:10" x14ac:dyDescent="0.25">
      <c r="A23" s="40">
        <v>10</v>
      </c>
      <c r="B23" s="40" t="str">
        <f>'DATA ENTRY'!B35</f>
        <v>24-QC13948</v>
      </c>
      <c r="C23" s="55" t="str">
        <f>'DATA ENTRY'!C35</f>
        <v>CABRERA, CHARLES IAN</v>
      </c>
      <c r="D23" s="56">
        <f>PRELIM!Q23</f>
        <v>93.777777777777771</v>
      </c>
      <c r="E23" s="56">
        <f>MIDTERM!Q23</f>
        <v>96.666666666666671</v>
      </c>
      <c r="F23" s="56">
        <f>FINAL!Q23</f>
        <v>91.666666666666671</v>
      </c>
      <c r="G23" s="57">
        <f t="shared" si="0"/>
        <v>94.037037037037052</v>
      </c>
      <c r="H23" s="40">
        <f>VLOOKUP(G23,TGQC!$X$1:$Y$990,2)</f>
        <v>1.5</v>
      </c>
      <c r="I23" s="40" t="str">
        <f>VLOOKUP(H23,TGQC!$H$1:$I$13,2)</f>
        <v>Passed</v>
      </c>
      <c r="J23" s="40" t="str">
        <f>VLOOKUP(I23&amp;"-"&amp;FINAL!S23,TGQC!$S$1:$V$10,4,0)</f>
        <v>Passed</v>
      </c>
    </row>
    <row r="24" spans="1:10" x14ac:dyDescent="0.25">
      <c r="A24" s="40">
        <v>11</v>
      </c>
      <c r="B24" s="40" t="str">
        <f>'DATA ENTRY'!B36</f>
        <v>24-QC13477</v>
      </c>
      <c r="C24" s="55" t="str">
        <f>'DATA ENTRY'!C36</f>
        <v>CAMPOS, RYAN MIGUEL PACAYRA</v>
      </c>
      <c r="D24" s="56">
        <f>PRELIM!Q24</f>
        <v>90</v>
      </c>
      <c r="E24" s="56">
        <f>MIDTERM!Q24</f>
        <v>60</v>
      </c>
      <c r="F24" s="56">
        <f>FINAL!Q24</f>
        <v>69</v>
      </c>
      <c r="G24" s="57">
        <f t="shared" si="0"/>
        <v>73</v>
      </c>
      <c r="H24" s="40">
        <f>VLOOKUP(G24,TGQC!$X$1:$Y$990,2)</f>
        <v>5</v>
      </c>
      <c r="I24" s="40" t="str">
        <f>VLOOKUP(H24,TGQC!$H$1:$I$13,2)</f>
        <v>Failed</v>
      </c>
      <c r="J24" s="40" t="str">
        <f>VLOOKUP(I24&amp;"-"&amp;FINAL!S24,TGQC!$S$1:$V$10,4,0)</f>
        <v>Failed</v>
      </c>
    </row>
    <row r="25" spans="1:10" x14ac:dyDescent="0.25">
      <c r="A25" s="40">
        <v>12</v>
      </c>
      <c r="B25" s="40" t="str">
        <f>'DATA ENTRY'!B37</f>
        <v>24-QC14613</v>
      </c>
      <c r="C25" s="55" t="str">
        <f>'DATA ENTRY'!C37</f>
        <v>CASTILLO, LOUIS ANGELO CRAME</v>
      </c>
      <c r="D25" s="56">
        <f>PRELIM!Q25</f>
        <v>95.333333333333329</v>
      </c>
      <c r="E25" s="56">
        <f>MIDTERM!Q25</f>
        <v>91.333333333333329</v>
      </c>
      <c r="F25" s="56">
        <f>FINAL!Q25</f>
        <v>91.666666666666671</v>
      </c>
      <c r="G25" s="57">
        <f t="shared" si="0"/>
        <v>92.777777777777771</v>
      </c>
      <c r="H25" s="40">
        <f>VLOOKUP(G25,TGQC!$X$1:$Y$990,2)</f>
        <v>1.5</v>
      </c>
      <c r="I25" s="40" t="str">
        <f>VLOOKUP(H25,TGQC!$H$1:$I$13,2)</f>
        <v>Passed</v>
      </c>
      <c r="J25" s="40" t="str">
        <f>VLOOKUP(I25&amp;"-"&amp;FINAL!S25,TGQC!$S$1:$V$10,4,0)</f>
        <v>Passed</v>
      </c>
    </row>
    <row r="26" spans="1:10" x14ac:dyDescent="0.25">
      <c r="A26" s="40">
        <v>13</v>
      </c>
      <c r="B26" s="40" t="str">
        <f>'DATA ENTRY'!B38</f>
        <v>24-QC12893</v>
      </c>
      <c r="C26" s="55" t="str">
        <f>'DATA ENTRY'!C38</f>
        <v>CREMAN, DIESSA MAE ANGELES</v>
      </c>
      <c r="D26" s="56">
        <f>PRELIM!Q26</f>
        <v>81</v>
      </c>
      <c r="E26" s="56">
        <f>MIDTERM!Q26</f>
        <v>98</v>
      </c>
      <c r="F26" s="56">
        <f>FINAL!Q26</f>
        <v>95</v>
      </c>
      <c r="G26" s="57">
        <f t="shared" si="0"/>
        <v>91.333333333333329</v>
      </c>
      <c r="H26" s="40">
        <f>VLOOKUP(G26,TGQC!$X$1:$Y$990,2)</f>
        <v>1.75</v>
      </c>
      <c r="I26" s="40" t="str">
        <f>VLOOKUP(H26,TGQC!$H$1:$I$13,2)</f>
        <v>Passed</v>
      </c>
      <c r="J26" s="40" t="str">
        <f>VLOOKUP(I26&amp;"-"&amp;FINAL!S26,TGQC!$S$1:$V$10,4,0)</f>
        <v>Passed</v>
      </c>
    </row>
    <row r="27" spans="1:10" x14ac:dyDescent="0.25">
      <c r="A27" s="40">
        <v>14</v>
      </c>
      <c r="B27" s="40" t="str">
        <f>'DATA ENTRY'!B39</f>
        <v>24-QC13705</v>
      </c>
      <c r="C27" s="55" t="str">
        <f>'DATA ENTRY'!C39</f>
        <v>DAYRIT, KRIS ZILDJAN REI BANZON</v>
      </c>
      <c r="D27" s="56">
        <f>PRELIM!Q27</f>
        <v>90.444444444444443</v>
      </c>
      <c r="E27" s="56">
        <f>MIDTERM!Q27</f>
        <v>79.333333333333329</v>
      </c>
      <c r="F27" s="56">
        <f>FINAL!Q27</f>
        <v>86.666666666666671</v>
      </c>
      <c r="G27" s="57">
        <f t="shared" si="0"/>
        <v>85.481481481481481</v>
      </c>
      <c r="H27" s="40">
        <f>VLOOKUP(G27,TGQC!$X$1:$Y$990,2)</f>
        <v>2.25</v>
      </c>
      <c r="I27" s="40" t="str">
        <f>VLOOKUP(H27,TGQC!$H$1:$I$13,2)</f>
        <v>Passed</v>
      </c>
      <c r="J27" s="40" t="str">
        <f>VLOOKUP(I27&amp;"-"&amp;FINAL!S27,TGQC!$S$1:$V$10,4,0)</f>
        <v>Passed</v>
      </c>
    </row>
    <row r="28" spans="1:10" x14ac:dyDescent="0.25">
      <c r="A28" s="40">
        <v>15</v>
      </c>
      <c r="B28" s="40" t="str">
        <f>'DATA ENTRY'!B40</f>
        <v>24-QC12852</v>
      </c>
      <c r="C28" s="55" t="str">
        <f>'DATA ENTRY'!C40</f>
        <v>DE BELEN, JASHLEY ANN ADORA</v>
      </c>
      <c r="D28" s="56">
        <f>PRELIM!Q28</f>
        <v>98</v>
      </c>
      <c r="E28" s="56">
        <f>MIDTERM!Q28</f>
        <v>98</v>
      </c>
      <c r="F28" s="56">
        <f>FINAL!Q28</f>
        <v>93.666666666666671</v>
      </c>
      <c r="G28" s="57">
        <f t="shared" si="0"/>
        <v>96.555555555555557</v>
      </c>
      <c r="H28" s="40">
        <f>VLOOKUP(G28,TGQC!$X$1:$Y$990,2)</f>
        <v>1.25</v>
      </c>
      <c r="I28" s="40" t="str">
        <f>VLOOKUP(H28,TGQC!$H$1:$I$13,2)</f>
        <v>Passed</v>
      </c>
      <c r="J28" s="40" t="str">
        <f>VLOOKUP(I28&amp;"-"&amp;FINAL!S28,TGQC!$S$1:$V$10,4,0)</f>
        <v>Passed</v>
      </c>
    </row>
    <row r="29" spans="1:10" x14ac:dyDescent="0.25">
      <c r="A29" s="40">
        <v>16</v>
      </c>
      <c r="B29" s="40" t="str">
        <f>'DATA ENTRY'!B41</f>
        <v>24-QC13048</v>
      </c>
      <c r="C29" s="55" t="str">
        <f>'DATA ENTRY'!C41</f>
        <v>DEL PILAR, MARK JAYSON ESGUERRA</v>
      </c>
      <c r="D29" s="56">
        <f>PRELIM!Q29</f>
        <v>89.222222222222229</v>
      </c>
      <c r="E29" s="56">
        <f>MIDTERM!Q29</f>
        <v>98.333333333333329</v>
      </c>
      <c r="F29" s="56">
        <f>FINAL!Q29</f>
        <v>95</v>
      </c>
      <c r="G29" s="57">
        <f t="shared" si="0"/>
        <v>94.185185185185176</v>
      </c>
      <c r="H29" s="40">
        <f>VLOOKUP(G29,TGQC!$X$1:$Y$990,2)</f>
        <v>1.5</v>
      </c>
      <c r="I29" s="40" t="str">
        <f>VLOOKUP(H29,TGQC!$H$1:$I$13,2)</f>
        <v>Passed</v>
      </c>
      <c r="J29" s="40" t="str">
        <f>VLOOKUP(I29&amp;"-"&amp;FINAL!S29,TGQC!$S$1:$V$10,4,0)</f>
        <v>Passed</v>
      </c>
    </row>
    <row r="30" spans="1:10" x14ac:dyDescent="0.25">
      <c r="A30" s="40">
        <v>17</v>
      </c>
      <c r="B30" s="40" t="str">
        <f>'DATA ENTRY'!B42</f>
        <v>24-QC13213</v>
      </c>
      <c r="C30" s="55" t="str">
        <f>'DATA ENTRY'!C42</f>
        <v>ENGUAS, JEFFERSON ETONG</v>
      </c>
      <c r="D30" s="56">
        <f>PRELIM!Q30</f>
        <v>93.222222222222229</v>
      </c>
      <c r="E30" s="56">
        <f>MIDTERM!Q30</f>
        <v>98.333333333333329</v>
      </c>
      <c r="F30" s="56">
        <f>FINAL!Q30</f>
        <v>93</v>
      </c>
      <c r="G30" s="57">
        <f t="shared" si="0"/>
        <v>94.851851851851848</v>
      </c>
      <c r="H30" s="40">
        <f>VLOOKUP(G30,TGQC!$X$1:$Y$990,2)</f>
        <v>1.25</v>
      </c>
      <c r="I30" s="40" t="str">
        <f>VLOOKUP(H30,TGQC!$H$1:$I$13,2)</f>
        <v>Passed</v>
      </c>
      <c r="J30" s="40" t="str">
        <f>VLOOKUP(I30&amp;"-"&amp;FINAL!S30,TGQC!$S$1:$V$10,4,0)</f>
        <v>Passed</v>
      </c>
    </row>
    <row r="31" spans="1:10" x14ac:dyDescent="0.25">
      <c r="A31" s="40">
        <v>18</v>
      </c>
      <c r="B31" s="40" t="str">
        <f>'DATA ENTRY'!B43</f>
        <v>24-QC13789</v>
      </c>
      <c r="C31" s="55" t="str">
        <f>'DATA ENTRY'!C43</f>
        <v>ESTRADA, KENNETH ANDREI VINLUAN</v>
      </c>
      <c r="D31" s="56">
        <f>PRELIM!Q31</f>
        <v>68</v>
      </c>
      <c r="E31" s="56">
        <f>MIDTERM!Q31</f>
        <v>96.666666666666671</v>
      </c>
      <c r="F31" s="56">
        <f>FINAL!Q31</f>
        <v>95</v>
      </c>
      <c r="G31" s="57">
        <f t="shared" si="0"/>
        <v>86.555555555555557</v>
      </c>
      <c r="H31" s="40">
        <f>VLOOKUP(G31,TGQC!$X$1:$Y$990,2)</f>
        <v>2</v>
      </c>
      <c r="I31" s="40" t="str">
        <f>VLOOKUP(H31,TGQC!$H$1:$I$13,2)</f>
        <v>Passed</v>
      </c>
      <c r="J31" s="40" t="str">
        <f>VLOOKUP(I31&amp;"-"&amp;FINAL!S31,TGQC!$S$1:$V$10,4,0)</f>
        <v>Passed</v>
      </c>
    </row>
    <row r="32" spans="1:10" x14ac:dyDescent="0.25">
      <c r="A32" s="40">
        <v>19</v>
      </c>
      <c r="B32" s="40" t="str">
        <f>'DATA ENTRY'!B44</f>
        <v>24-QC13643</v>
      </c>
      <c r="C32" s="55" t="str">
        <f>'DATA ENTRY'!C44</f>
        <v>FRIANEZA, MITCH LORKAN TUTOP</v>
      </c>
      <c r="D32" s="56">
        <f>PRELIM!Q32</f>
        <v>83.8888888888889</v>
      </c>
      <c r="E32" s="56">
        <f>MIDTERM!Q32</f>
        <v>75</v>
      </c>
      <c r="F32" s="56">
        <f>FINAL!Q32</f>
        <v>81.666666666666671</v>
      </c>
      <c r="G32" s="57">
        <f t="shared" si="0"/>
        <v>80.185185185185205</v>
      </c>
      <c r="H32" s="40">
        <f>VLOOKUP(G32,TGQC!$X$1:$Y$990,2)</f>
        <v>2.5</v>
      </c>
      <c r="I32" s="40" t="str">
        <f>VLOOKUP(H32,TGQC!$H$1:$I$13,2)</f>
        <v>Passed</v>
      </c>
      <c r="J32" s="40" t="str">
        <f>VLOOKUP(I32&amp;"-"&amp;FINAL!S32,TGQC!$S$1:$V$10,4,0)</f>
        <v>Passed</v>
      </c>
    </row>
    <row r="33" spans="1:10" x14ac:dyDescent="0.25">
      <c r="A33" s="40">
        <v>20</v>
      </c>
      <c r="B33" s="40" t="str">
        <f>'DATA ENTRY'!B45</f>
        <v>24-QC13741</v>
      </c>
      <c r="C33" s="55" t="str">
        <f>'DATA ENTRY'!C45</f>
        <v>GAERLAN, AXEL LOPEZ</v>
      </c>
      <c r="D33" s="56">
        <f>PRELIM!Q33</f>
        <v>96.777777777777771</v>
      </c>
      <c r="E33" s="56">
        <f>MIDTERM!Q33</f>
        <v>95</v>
      </c>
      <c r="F33" s="56">
        <f>FINAL!Q33</f>
        <v>93</v>
      </c>
      <c r="G33" s="57">
        <f t="shared" si="0"/>
        <v>94.925925925925924</v>
      </c>
      <c r="H33" s="40">
        <f>VLOOKUP(G33,TGQC!$X$1:$Y$990,2)</f>
        <v>1.25</v>
      </c>
      <c r="I33" s="40" t="str">
        <f>VLOOKUP(H33,TGQC!$H$1:$I$13,2)</f>
        <v>Passed</v>
      </c>
      <c r="J33" s="40" t="str">
        <f>VLOOKUP(I33&amp;"-"&amp;FINAL!S33,TGQC!$S$1:$V$10,4,0)</f>
        <v>Passed</v>
      </c>
    </row>
    <row r="34" spans="1:10" x14ac:dyDescent="0.25">
      <c r="A34" s="40">
        <v>21</v>
      </c>
      <c r="B34" s="40" t="str">
        <f>'DATA ENTRY'!B46</f>
        <v>24-QC12340</v>
      </c>
      <c r="C34" s="55" t="str">
        <f>'DATA ENTRY'!C46</f>
        <v>GARCIA, JUSTIN CARBONQUILLO</v>
      </c>
      <c r="D34" s="56">
        <f>PRELIM!Q34</f>
        <v>91.1111111111111</v>
      </c>
      <c r="E34" s="56">
        <f>MIDTERM!Q34</f>
        <v>96.666666666666671</v>
      </c>
      <c r="F34" s="56">
        <f>FINAL!Q34</f>
        <v>97</v>
      </c>
      <c r="G34" s="57">
        <f t="shared" si="0"/>
        <v>94.925925925925924</v>
      </c>
      <c r="H34" s="40">
        <f>VLOOKUP(G34,TGQC!$X$1:$Y$990,2)</f>
        <v>1.25</v>
      </c>
      <c r="I34" s="40" t="str">
        <f>VLOOKUP(H34,TGQC!$H$1:$I$13,2)</f>
        <v>Passed</v>
      </c>
      <c r="J34" s="40" t="str">
        <f>VLOOKUP(I34&amp;"-"&amp;FINAL!S34,TGQC!$S$1:$V$10,4,0)</f>
        <v>Passed</v>
      </c>
    </row>
    <row r="35" spans="1:10" x14ac:dyDescent="0.25">
      <c r="A35" s="40">
        <v>22</v>
      </c>
      <c r="B35" s="40" t="str">
        <f>'DATA ENTRY'!B47</f>
        <v>24-QC12193</v>
      </c>
      <c r="C35" s="55" t="str">
        <f>'DATA ENTRY'!C47</f>
        <v>GROSPE, ARL JOHN GAMBOA</v>
      </c>
      <c r="D35" s="56">
        <f>PRELIM!Q35</f>
        <v>95.444444444444443</v>
      </c>
      <c r="E35" s="56">
        <f>MIDTERM!Q35</f>
        <v>98</v>
      </c>
      <c r="F35" s="56">
        <f>FINAL!Q35</f>
        <v>93</v>
      </c>
      <c r="G35" s="57">
        <f t="shared" si="0"/>
        <v>95.481481481481481</v>
      </c>
      <c r="H35" s="40">
        <f>VLOOKUP(G35,TGQC!$X$1:$Y$990,2)</f>
        <v>1.25</v>
      </c>
      <c r="I35" s="40" t="str">
        <f>VLOOKUP(H35,TGQC!$H$1:$I$13,2)</f>
        <v>Passed</v>
      </c>
      <c r="J35" s="40" t="str">
        <f>VLOOKUP(I35&amp;"-"&amp;FINAL!S35,TGQC!$S$1:$V$10,4,0)</f>
        <v>Passed</v>
      </c>
    </row>
    <row r="36" spans="1:10" x14ac:dyDescent="0.25">
      <c r="A36" s="40">
        <v>23</v>
      </c>
      <c r="B36" s="40" t="str">
        <f>'DATA ENTRY'!B48</f>
        <v>24-QC13448</v>
      </c>
      <c r="C36" s="55" t="str">
        <f>'DATA ENTRY'!C48</f>
        <v>JARINA, YUKI AUDREY DE GUZMAN</v>
      </c>
      <c r="D36" s="56">
        <f>PRELIM!Q36</f>
        <v>83.777777777777771</v>
      </c>
      <c r="E36" s="56">
        <f>MIDTERM!Q36</f>
        <v>90</v>
      </c>
      <c r="F36" s="56">
        <f>FINAL!Q36</f>
        <v>88.333333333333329</v>
      </c>
      <c r="G36" s="57">
        <f t="shared" si="0"/>
        <v>87.370370370370367</v>
      </c>
      <c r="H36" s="40">
        <f>VLOOKUP(G36,TGQC!$X$1:$Y$990,2)</f>
        <v>2</v>
      </c>
      <c r="I36" s="40" t="str">
        <f>VLOOKUP(H36,TGQC!$H$1:$I$13,2)</f>
        <v>Passed</v>
      </c>
      <c r="J36" s="40" t="str">
        <f>VLOOKUP(I36&amp;"-"&amp;FINAL!S36,TGQC!$S$1:$V$10,4,0)</f>
        <v>Passed</v>
      </c>
    </row>
    <row r="37" spans="1:10" x14ac:dyDescent="0.25">
      <c r="A37" s="40">
        <v>24</v>
      </c>
      <c r="B37" s="40" t="str">
        <f>'DATA ENTRY'!B49</f>
        <v>24-QC14896</v>
      </c>
      <c r="C37" s="55" t="str">
        <f>'DATA ENTRY'!C49</f>
        <v>JOAQUIN, JOHN NARRAH N/A</v>
      </c>
      <c r="D37" s="56">
        <f>PRELIM!Q37</f>
        <v>95.666666666666671</v>
      </c>
      <c r="E37" s="56">
        <f>MIDTERM!Q37</f>
        <v>98.333333333333329</v>
      </c>
      <c r="F37" s="56">
        <f>FINAL!Q37</f>
        <v>88.333333333333329</v>
      </c>
      <c r="G37" s="57">
        <f t="shared" si="0"/>
        <v>94.1111111111111</v>
      </c>
      <c r="H37" s="40">
        <f>VLOOKUP(G37,TGQC!$X$1:$Y$990,2)</f>
        <v>1.5</v>
      </c>
      <c r="I37" s="40" t="str">
        <f>VLOOKUP(H37,TGQC!$H$1:$I$13,2)</f>
        <v>Passed</v>
      </c>
      <c r="J37" s="40" t="str">
        <f>VLOOKUP(I37&amp;"-"&amp;FINAL!S37,TGQC!$S$1:$V$10,4,0)</f>
        <v>Passed</v>
      </c>
    </row>
    <row r="38" spans="1:10" x14ac:dyDescent="0.25">
      <c r="A38" s="40">
        <v>25</v>
      </c>
      <c r="B38" s="40" t="str">
        <f>'DATA ENTRY'!B50</f>
        <v>24-QC12817</v>
      </c>
      <c r="C38" s="55" t="str">
        <f>'DATA ENTRY'!C50</f>
        <v>LAGROSA, JARED JASPER BAYANI</v>
      </c>
      <c r="D38" s="56">
        <f>PRELIM!Q38</f>
        <v>96</v>
      </c>
      <c r="E38" s="56">
        <f>MIDTERM!Q38</f>
        <v>96.666666666666671</v>
      </c>
      <c r="F38" s="56">
        <f>FINAL!Q38</f>
        <v>95</v>
      </c>
      <c r="G38" s="57">
        <f t="shared" si="0"/>
        <v>95.8888888888889</v>
      </c>
      <c r="H38" s="40">
        <f>VLOOKUP(G38,TGQC!$X$1:$Y$990,2)</f>
        <v>1.25</v>
      </c>
      <c r="I38" s="40" t="str">
        <f>VLOOKUP(H38,TGQC!$H$1:$I$13,2)</f>
        <v>Passed</v>
      </c>
      <c r="J38" s="40" t="str">
        <f>VLOOKUP(I38&amp;"-"&amp;FINAL!S38,TGQC!$S$1:$V$10,4,0)</f>
        <v>Passed</v>
      </c>
    </row>
    <row r="39" spans="1:10" x14ac:dyDescent="0.25">
      <c r="A39" s="40">
        <v>26</v>
      </c>
      <c r="B39" s="40" t="str">
        <f>'DATA ENTRY'!B51</f>
        <v>24-QC14194</v>
      </c>
      <c r="C39" s="55" t="str">
        <f>'DATA ENTRY'!C51</f>
        <v>LIBATON, JASON BALBUENA</v>
      </c>
      <c r="D39" s="56">
        <f>PRELIM!Q39</f>
        <v>84.8888888888889</v>
      </c>
      <c r="E39" s="56">
        <f>MIDTERM!Q39</f>
        <v>97.333333333333329</v>
      </c>
      <c r="F39" s="56">
        <f>FINAL!Q39</f>
        <v>85</v>
      </c>
      <c r="G39" s="57">
        <f t="shared" si="0"/>
        <v>89.074074074074076</v>
      </c>
      <c r="H39" s="40">
        <f>VLOOKUP(G39,TGQC!$X$1:$Y$990,2)</f>
        <v>1.75</v>
      </c>
      <c r="I39" s="40" t="str">
        <f>VLOOKUP(H39,TGQC!$H$1:$I$13,2)</f>
        <v>Passed</v>
      </c>
      <c r="J39" s="40" t="str">
        <f>VLOOKUP(I39&amp;"-"&amp;FINAL!S39,TGQC!$S$1:$V$10,4,0)</f>
        <v>Passed</v>
      </c>
    </row>
    <row r="40" spans="1:10" x14ac:dyDescent="0.25">
      <c r="A40" s="40">
        <v>27</v>
      </c>
      <c r="B40" s="40" t="str">
        <f>'DATA ENTRY'!B52</f>
        <v>24-QC12290</v>
      </c>
      <c r="C40" s="55" t="str">
        <f>'DATA ENTRY'!C52</f>
        <v>MAGISTRADO, RADZ EMMAN ABRIS</v>
      </c>
      <c r="D40" s="56">
        <f>PRELIM!Q40</f>
        <v>90.8888888888889</v>
      </c>
      <c r="E40" s="56">
        <f>MIDTERM!Q40</f>
        <v>93.333333333333329</v>
      </c>
      <c r="F40" s="56">
        <f>FINAL!Q40</f>
        <v>88</v>
      </c>
      <c r="G40" s="57">
        <f t="shared" si="0"/>
        <v>90.740740740740748</v>
      </c>
      <c r="H40" s="40">
        <f>VLOOKUP(G40,TGQC!$X$1:$Y$990,2)</f>
        <v>1.75</v>
      </c>
      <c r="I40" s="40" t="str">
        <f>VLOOKUP(H40,TGQC!$H$1:$I$13,2)</f>
        <v>Passed</v>
      </c>
      <c r="J40" s="40" t="str">
        <f>VLOOKUP(I40&amp;"-"&amp;FINAL!S40,TGQC!$S$1:$V$10,4,0)</f>
        <v>Passed</v>
      </c>
    </row>
    <row r="41" spans="1:10" x14ac:dyDescent="0.25">
      <c r="A41" s="40">
        <v>28</v>
      </c>
      <c r="B41" s="40" t="str">
        <f>'DATA ENTRY'!B53</f>
        <v>24-QC13638</v>
      </c>
      <c r="C41" s="55" t="str">
        <f>'DATA ENTRY'!C53</f>
        <v>MAMACLAY, CHRISTIAN SUMAGAYSAY</v>
      </c>
      <c r="D41" s="56">
        <f>PRELIM!Q41</f>
        <v>90.8888888888889</v>
      </c>
      <c r="E41" s="56">
        <f>MIDTERM!Q41</f>
        <v>90</v>
      </c>
      <c r="F41" s="56">
        <f>FINAL!Q41</f>
        <v>89.666666666666671</v>
      </c>
      <c r="G41" s="57">
        <f t="shared" si="0"/>
        <v>90.185185185185205</v>
      </c>
      <c r="H41" s="40">
        <f>VLOOKUP(G41,TGQC!$X$1:$Y$990,2)</f>
        <v>1.75</v>
      </c>
      <c r="I41" s="40" t="str">
        <f>VLOOKUP(H41,TGQC!$H$1:$I$13,2)</f>
        <v>Passed</v>
      </c>
      <c r="J41" s="40" t="str">
        <f>VLOOKUP(I41&amp;"-"&amp;FINAL!S41,TGQC!$S$1:$V$10,4,0)</f>
        <v>Passed</v>
      </c>
    </row>
    <row r="42" spans="1:10" x14ac:dyDescent="0.25">
      <c r="A42" s="40">
        <v>29</v>
      </c>
      <c r="B42" s="40" t="str">
        <f>'DATA ENTRY'!B54</f>
        <v>24-QC13903</v>
      </c>
      <c r="C42" s="55" t="str">
        <f>'DATA ENTRY'!C54</f>
        <v>NAYON, JOHN CARL MACALACAD</v>
      </c>
      <c r="D42" s="56">
        <f>PRELIM!Q42</f>
        <v>85.333333333333329</v>
      </c>
      <c r="E42" s="56">
        <f>MIDTERM!Q42</f>
        <v>86.666666666666671</v>
      </c>
      <c r="F42" s="56">
        <f>FINAL!Q42</f>
        <v>91.666666666666671</v>
      </c>
      <c r="G42" s="57">
        <f t="shared" si="0"/>
        <v>87.8888888888889</v>
      </c>
      <c r="H42" s="40">
        <f>VLOOKUP(G42,TGQC!$X$1:$Y$990,2)</f>
        <v>2</v>
      </c>
      <c r="I42" s="40" t="str">
        <f>VLOOKUP(H42,TGQC!$H$1:$I$13,2)</f>
        <v>Passed</v>
      </c>
      <c r="J42" s="40" t="str">
        <f>VLOOKUP(I42&amp;"-"&amp;FINAL!S42,TGQC!$S$1:$V$10,4,0)</f>
        <v>Passed</v>
      </c>
    </row>
    <row r="43" spans="1:10" x14ac:dyDescent="0.25">
      <c r="A43" s="40">
        <v>30</v>
      </c>
      <c r="B43" s="40" t="str">
        <f>'DATA ENTRY'!B55</f>
        <v>24-QC12413</v>
      </c>
      <c r="C43" s="55" t="str">
        <f>'DATA ENTRY'!C55</f>
        <v>PACULANAN, MARK DANIEL AMBUYOC</v>
      </c>
      <c r="D43" s="56">
        <f>PRELIM!Q43</f>
        <v>91.555555555555557</v>
      </c>
      <c r="E43" s="56">
        <f>MIDTERM!Q43</f>
        <v>93.333333333333329</v>
      </c>
      <c r="F43" s="56">
        <f>FINAL!Q43</f>
        <v>88</v>
      </c>
      <c r="G43" s="57">
        <f t="shared" si="0"/>
        <v>90.962962962962976</v>
      </c>
      <c r="H43" s="40">
        <f>VLOOKUP(G43,TGQC!$X$1:$Y$990,2)</f>
        <v>1.75</v>
      </c>
      <c r="I43" s="40" t="str">
        <f>VLOOKUP(H43,TGQC!$H$1:$I$13,2)</f>
        <v>Passed</v>
      </c>
      <c r="J43" s="40" t="str">
        <f>VLOOKUP(I43&amp;"-"&amp;FINAL!S43,TGQC!$S$1:$V$10,4,0)</f>
        <v>Passed</v>
      </c>
    </row>
    <row r="44" spans="1:10" x14ac:dyDescent="0.25">
      <c r="A44" s="40">
        <v>31</v>
      </c>
      <c r="B44" s="40" t="str">
        <f>'DATA ENTRY'!B56</f>
        <v>24-QC12733</v>
      </c>
      <c r="C44" s="55" t="str">
        <f>'DATA ENTRY'!C56</f>
        <v>PALANGDAO, CRISTAN JOSS LIMOS</v>
      </c>
      <c r="D44" s="56">
        <f>PRELIM!Q44</f>
        <v>89.8888888888889</v>
      </c>
      <c r="E44" s="56">
        <f>MIDTERM!Q44</f>
        <v>95</v>
      </c>
      <c r="F44" s="56">
        <f>FINAL!Q44</f>
        <v>97.666666666666671</v>
      </c>
      <c r="G44" s="57">
        <f t="shared" si="0"/>
        <v>94.185185185185205</v>
      </c>
      <c r="H44" s="40">
        <f>VLOOKUP(G44,TGQC!$X$1:$Y$990,2)</f>
        <v>1.5</v>
      </c>
      <c r="I44" s="40" t="str">
        <f>VLOOKUP(H44,TGQC!$H$1:$I$13,2)</f>
        <v>Passed</v>
      </c>
      <c r="J44" s="40" t="str">
        <f>VLOOKUP(I44&amp;"-"&amp;FINAL!S44,TGQC!$S$1:$V$10,4,0)</f>
        <v>Passed</v>
      </c>
    </row>
    <row r="45" spans="1:10" x14ac:dyDescent="0.25">
      <c r="A45" s="40">
        <v>32</v>
      </c>
      <c r="B45" s="40" t="str">
        <f>'DATA ENTRY'!B57</f>
        <v>24-QC13852</v>
      </c>
      <c r="C45" s="55" t="str">
        <f>'DATA ENTRY'!C57</f>
        <v>PAULAR, BENEDICT JOHN GONZALES</v>
      </c>
      <c r="D45" s="56">
        <f>PRELIM!Q45</f>
        <v>82.666666666666671</v>
      </c>
      <c r="E45" s="56">
        <f>MIDTERM!Q45</f>
        <v>98.333333333333329</v>
      </c>
      <c r="F45" s="56">
        <f>FINAL!Q45</f>
        <v>89.666666666666671</v>
      </c>
      <c r="G45" s="57">
        <f t="shared" si="0"/>
        <v>90.222222222222229</v>
      </c>
      <c r="H45" s="40">
        <f>VLOOKUP(G45,TGQC!$X$1:$Y$990,2)</f>
        <v>1.75</v>
      </c>
      <c r="I45" s="40" t="str">
        <f>VLOOKUP(H45,TGQC!$H$1:$I$13,2)</f>
        <v>Passed</v>
      </c>
      <c r="J45" s="40" t="str">
        <f>VLOOKUP(I45&amp;"-"&amp;FINAL!S45,TGQC!$S$1:$V$10,4,0)</f>
        <v>Passed</v>
      </c>
    </row>
    <row r="46" spans="1:10" x14ac:dyDescent="0.25">
      <c r="A46" s="40">
        <v>33</v>
      </c>
      <c r="B46" s="40" t="str">
        <f>'DATA ENTRY'!B58</f>
        <v>24-QC14065</v>
      </c>
      <c r="C46" s="55" t="str">
        <f>'DATA ENTRY'!C58</f>
        <v>PEÑA, CEJAY CELLO</v>
      </c>
      <c r="D46" s="56">
        <f>PRELIM!Q46</f>
        <v>89.555555555555557</v>
      </c>
      <c r="E46" s="56">
        <f>MIDTERM!Q46</f>
        <v>78.333333333333329</v>
      </c>
      <c r="F46" s="56">
        <f>FINAL!Q46</f>
        <v>93.666666666666671</v>
      </c>
      <c r="G46" s="57">
        <f t="shared" si="0"/>
        <v>87.185185185185176</v>
      </c>
      <c r="H46" s="40">
        <f>VLOOKUP(G46,TGQC!$X$1:$Y$990,2)</f>
        <v>2</v>
      </c>
      <c r="I46" s="40" t="str">
        <f>VLOOKUP(H46,TGQC!$H$1:$I$13,2)</f>
        <v>Passed</v>
      </c>
      <c r="J46" s="40" t="str">
        <f>VLOOKUP(I46&amp;"-"&amp;FINAL!S46,TGQC!$S$1:$V$10,4,0)</f>
        <v>Passed</v>
      </c>
    </row>
    <row r="47" spans="1:10" x14ac:dyDescent="0.25">
      <c r="A47" s="40">
        <v>34</v>
      </c>
      <c r="B47" s="40" t="str">
        <f>'DATA ENTRY'!B59</f>
        <v>24-QC12125</v>
      </c>
      <c r="C47" s="55" t="str">
        <f>'DATA ENTRY'!C59</f>
        <v>PURISIMA, KRISHA ANN BUCO</v>
      </c>
      <c r="D47" s="56">
        <f>PRELIM!Q47</f>
        <v>95.1111111111111</v>
      </c>
      <c r="E47" s="56">
        <f>MIDTERM!Q47</f>
        <v>96.666666666666671</v>
      </c>
      <c r="F47" s="56">
        <f>FINAL!Q47</f>
        <v>95</v>
      </c>
      <c r="G47" s="57">
        <f t="shared" si="0"/>
        <v>95.592592592592595</v>
      </c>
      <c r="H47" s="40">
        <f>VLOOKUP(G47,TGQC!$X$1:$Y$990,2)</f>
        <v>1.25</v>
      </c>
      <c r="I47" s="40" t="str">
        <f>VLOOKUP(H47,TGQC!$H$1:$I$13,2)</f>
        <v>Passed</v>
      </c>
      <c r="J47" s="40" t="str">
        <f>VLOOKUP(I47&amp;"-"&amp;FINAL!S47,TGQC!$S$1:$V$10,4,0)</f>
        <v>Passed</v>
      </c>
    </row>
    <row r="48" spans="1:10" x14ac:dyDescent="0.25">
      <c r="A48" s="40">
        <v>35</v>
      </c>
      <c r="B48" s="40" t="str">
        <f>'DATA ENTRY'!B60</f>
        <v>24-QC12818</v>
      </c>
      <c r="C48" s="55" t="str">
        <f>'DATA ENTRY'!C60</f>
        <v>SESE, GERALDINO CARIÑO JR</v>
      </c>
      <c r="D48" s="56">
        <f>PRELIM!Q48</f>
        <v>90.777777777777771</v>
      </c>
      <c r="E48" s="56">
        <f>MIDTERM!Q48</f>
        <v>83.333333333333329</v>
      </c>
      <c r="F48" s="56">
        <f>FINAL!Q48</f>
        <v>93</v>
      </c>
      <c r="G48" s="57">
        <f t="shared" si="0"/>
        <v>89.037037037037024</v>
      </c>
      <c r="H48" s="40">
        <f>VLOOKUP(G48,TGQC!$X$1:$Y$990,2)</f>
        <v>1.75</v>
      </c>
      <c r="I48" s="40" t="str">
        <f>VLOOKUP(H48,TGQC!$H$1:$I$13,2)</f>
        <v>Passed</v>
      </c>
      <c r="J48" s="40" t="str">
        <f>VLOOKUP(I48&amp;"-"&amp;FINAL!S48,TGQC!$S$1:$V$10,4,0)</f>
        <v>Passed</v>
      </c>
    </row>
    <row r="49" spans="1:10" x14ac:dyDescent="0.25">
      <c r="A49" s="40">
        <v>36</v>
      </c>
      <c r="B49" s="40" t="str">
        <f>'DATA ENTRY'!B61</f>
        <v>24-QC13100</v>
      </c>
      <c r="C49" s="55" t="str">
        <f>'DATA ENTRY'!C61</f>
        <v>SUBIDA, THERESE ANGELI CASTRO</v>
      </c>
      <c r="D49" s="56">
        <f>PRELIM!Q49</f>
        <v>97.222222222222229</v>
      </c>
      <c r="E49" s="56">
        <f>MIDTERM!Q49</f>
        <v>97.333333333333329</v>
      </c>
      <c r="F49" s="56">
        <f>FINAL!Q49</f>
        <v>90.333333333333329</v>
      </c>
      <c r="G49" s="57">
        <f t="shared" si="0"/>
        <v>94.962962962962948</v>
      </c>
      <c r="H49" s="40">
        <f>VLOOKUP(G49,TGQC!$X$1:$Y$990,2)</f>
        <v>1.25</v>
      </c>
      <c r="I49" s="40" t="str">
        <f>VLOOKUP(H49,TGQC!$H$1:$I$13,2)</f>
        <v>Passed</v>
      </c>
      <c r="J49" s="40" t="str">
        <f>VLOOKUP(I49&amp;"-"&amp;FINAL!S49,TGQC!$S$1:$V$10,4,0)</f>
        <v>Passed</v>
      </c>
    </row>
    <row r="50" spans="1:10" x14ac:dyDescent="0.25">
      <c r="A50" s="40">
        <v>37</v>
      </c>
      <c r="B50" s="40" t="str">
        <f>'DATA ENTRY'!B62</f>
        <v>24-QC13520</v>
      </c>
      <c r="C50" s="55" t="str">
        <f>'DATA ENTRY'!C62</f>
        <v>TAN, CHRISJAN GABRIEL SAGARIO</v>
      </c>
      <c r="D50" s="56">
        <f>PRELIM!Q50</f>
        <v>93.8888888888889</v>
      </c>
      <c r="E50" s="56">
        <f>MIDTERM!Q50</f>
        <v>100</v>
      </c>
      <c r="F50" s="56">
        <f>FINAL!Q50</f>
        <v>98.333333333333329</v>
      </c>
      <c r="G50" s="57">
        <f t="shared" si="0"/>
        <v>97.407407407407405</v>
      </c>
      <c r="H50" s="40">
        <f>VLOOKUP(G50,TGQC!$X$1:$Y$990,2)</f>
        <v>1.25</v>
      </c>
      <c r="I50" s="40" t="str">
        <f>VLOOKUP(H50,TGQC!$H$1:$I$13,2)</f>
        <v>Passed</v>
      </c>
      <c r="J50" s="40" t="str">
        <f>VLOOKUP(I50&amp;"-"&amp;FINAL!S50,TGQC!$S$1:$V$10,4,0)</f>
        <v>Passed</v>
      </c>
    </row>
    <row r="51" spans="1:10" x14ac:dyDescent="0.25">
      <c r="A51" s="40">
        <v>38</v>
      </c>
      <c r="B51" s="40" t="str">
        <f>'DATA ENTRY'!B63</f>
        <v>23-QC04979</v>
      </c>
      <c r="C51" s="55" t="str">
        <f>'DATA ENTRY'!C63</f>
        <v>TULA, MALIC ANGCAS</v>
      </c>
      <c r="D51" s="56">
        <f>PRELIM!Q51</f>
        <v>93.555555555555557</v>
      </c>
      <c r="E51" s="56">
        <f>MIDTERM!Q51</f>
        <v>95.666666666666671</v>
      </c>
      <c r="F51" s="56">
        <f>FINAL!Q51</f>
        <v>93</v>
      </c>
      <c r="G51" s="57">
        <f t="shared" si="0"/>
        <v>94.074074074074076</v>
      </c>
      <c r="H51" s="40">
        <f>VLOOKUP(G51,TGQC!$X$1:$Y$990,2)</f>
        <v>1.5</v>
      </c>
      <c r="I51" s="40" t="str">
        <f>VLOOKUP(H51,TGQC!$H$1:$I$13,2)</f>
        <v>Passed</v>
      </c>
      <c r="J51" s="40" t="str">
        <f>VLOOKUP(I51&amp;"-"&amp;FINAL!S51,TGQC!$S$1:$V$10,4,0)</f>
        <v>Passed</v>
      </c>
    </row>
    <row r="52" spans="1:10" x14ac:dyDescent="0.25">
      <c r="A52" s="40">
        <v>39</v>
      </c>
      <c r="B52" s="40" t="str">
        <f>'DATA ENTRY'!B64</f>
        <v>24-QC13844</v>
      </c>
      <c r="C52" s="55" t="str">
        <f>'DATA ENTRY'!C64</f>
        <v>VALDERAMA, KEISHA ABIGAIL ARROYO</v>
      </c>
      <c r="D52" s="56">
        <f>PRELIM!Q52</f>
        <v>86.666666666666671</v>
      </c>
      <c r="E52" s="56">
        <f>MIDTERM!Q52</f>
        <v>97.333333333333329</v>
      </c>
      <c r="F52" s="56">
        <f>FINAL!Q52</f>
        <v>95</v>
      </c>
      <c r="G52" s="57">
        <f t="shared" si="0"/>
        <v>93</v>
      </c>
      <c r="H52" s="40">
        <f>VLOOKUP(G52,TGQC!$X$1:$Y$990,2)</f>
        <v>1.5</v>
      </c>
      <c r="I52" s="40" t="str">
        <f>VLOOKUP(H52,TGQC!$H$1:$I$13,2)</f>
        <v>Passed</v>
      </c>
      <c r="J52" s="40" t="str">
        <f>VLOOKUP(I52&amp;"-"&amp;FINAL!S52,TGQC!$S$1:$V$10,4,0)</f>
        <v>Passed</v>
      </c>
    </row>
    <row r="53" spans="1:10" x14ac:dyDescent="0.25">
      <c r="A53" s="40">
        <v>40</v>
      </c>
      <c r="B53" s="40" t="str">
        <f>'DATA ENTRY'!B65</f>
        <v>24-QC14102</v>
      </c>
      <c r="C53" s="55" t="str">
        <f>'DATA ENTRY'!C65</f>
        <v>VELASCO, KIM ANTONETTE LINDONG</v>
      </c>
      <c r="D53" s="56">
        <f>PRELIM!Q53</f>
        <v>90.333333333333329</v>
      </c>
      <c r="E53" s="56">
        <f>MIDTERM!Q53</f>
        <v>83.333333333333329</v>
      </c>
      <c r="F53" s="56">
        <f>FINAL!Q53</f>
        <v>78.333333333333329</v>
      </c>
      <c r="G53" s="57">
        <f t="shared" si="0"/>
        <v>84</v>
      </c>
      <c r="H53" s="40">
        <f>VLOOKUP(G53,TGQC!$X$1:$Y$990,2)</f>
        <v>2.25</v>
      </c>
      <c r="I53" s="40" t="str">
        <f>VLOOKUP(H53,TGQC!$H$1:$I$13,2)</f>
        <v>Passed</v>
      </c>
      <c r="J53" s="40" t="str">
        <f>VLOOKUP(I53&amp;"-"&amp;FINAL!S53,TGQC!$S$1:$V$10,4,0)</f>
        <v>Passed</v>
      </c>
    </row>
    <row r="54" spans="1:10" x14ac:dyDescent="0.25">
      <c r="A54" s="40">
        <v>41</v>
      </c>
      <c r="B54" s="40" t="str">
        <f>'DATA ENTRY'!B66</f>
        <v>24-QC13208</v>
      </c>
      <c r="C54" s="55" t="str">
        <f>'DATA ENTRY'!C66</f>
        <v>VERECIO, ANGEL FAITH CIANO</v>
      </c>
      <c r="D54" s="56">
        <f>PRELIM!Q54</f>
        <v>96.222222222222229</v>
      </c>
      <c r="E54" s="56">
        <f>MIDTERM!Q54</f>
        <v>98.333333333333329</v>
      </c>
      <c r="F54" s="56">
        <f>FINAL!Q54</f>
        <v>95</v>
      </c>
      <c r="G54" s="57">
        <f t="shared" si="0"/>
        <v>96.518518518518519</v>
      </c>
      <c r="H54" s="40">
        <f>VLOOKUP(G54,TGQC!$X$1:$Y$990,2)</f>
        <v>1.25</v>
      </c>
      <c r="I54" s="40" t="str">
        <f>VLOOKUP(H54,TGQC!$H$1:$I$13,2)</f>
        <v>Passed</v>
      </c>
      <c r="J54" s="40" t="str">
        <f>VLOOKUP(I54&amp;"-"&amp;FINAL!S54,TGQC!$S$1:$V$10,4,0)</f>
        <v>Passed</v>
      </c>
    </row>
    <row r="55" spans="1:10" x14ac:dyDescent="0.25">
      <c r="A55" s="40">
        <v>42</v>
      </c>
      <c r="B55" s="40" t="str">
        <f>'DATA ENTRY'!B67</f>
        <v>24-QC13179</v>
      </c>
      <c r="C55" s="55" t="str">
        <f>'DATA ENTRY'!C67</f>
        <v>VILLAMOR, CHELSEY ANNE</v>
      </c>
      <c r="D55" s="56">
        <f>PRELIM!Q55</f>
        <v>100</v>
      </c>
      <c r="E55" s="56">
        <f>MIDTERM!Q55</f>
        <v>98.333333333333329</v>
      </c>
      <c r="F55" s="56">
        <f>FINAL!Q55</f>
        <v>98.333333333333329</v>
      </c>
      <c r="G55" s="57">
        <f t="shared" si="0"/>
        <v>98.888888888888872</v>
      </c>
      <c r="H55" s="40">
        <f>VLOOKUP(G55,TGQC!$X$1:$Y$990,2)</f>
        <v>1</v>
      </c>
      <c r="I55" s="40" t="str">
        <f>VLOOKUP(H55,TGQC!$H$1:$I$13,2)</f>
        <v>Passed</v>
      </c>
      <c r="J55" s="40" t="str">
        <f>VLOOKUP(I55&amp;"-"&amp;FINAL!S55,TGQC!$S$1:$V$10,4,0)</f>
        <v>Passed</v>
      </c>
    </row>
    <row r="56" spans="1:10" x14ac:dyDescent="0.25">
      <c r="A56" s="40">
        <v>43</v>
      </c>
      <c r="B56" s="40" t="str">
        <f>'DATA ENTRY'!B68</f>
        <v>24-QC13435</v>
      </c>
      <c r="C56" s="55" t="str">
        <f>'DATA ENTRY'!C68</f>
        <v>YABUT, CARYSE AMARA UNTALAN</v>
      </c>
      <c r="D56" s="56">
        <f>PRELIM!Q56</f>
        <v>0</v>
      </c>
      <c r="E56" s="56">
        <f>MIDTERM!Q56</f>
        <v>100</v>
      </c>
      <c r="F56" s="56">
        <f>FINAL!Q56</f>
        <v>97</v>
      </c>
      <c r="G56" s="57">
        <f t="shared" si="0"/>
        <v>65.666666666666671</v>
      </c>
      <c r="H56" s="40">
        <f>VLOOKUP(G56,TGQC!$X$1:$Y$990,2)</f>
        <v>5</v>
      </c>
      <c r="I56" s="40" t="str">
        <f>VLOOKUP(H56,TGQC!$H$1:$I$13,2)</f>
        <v>Failed</v>
      </c>
      <c r="J56" s="40" t="str">
        <f>VLOOKUP(I56&amp;"-"&amp;FINAL!S56,TGQC!$S$1:$V$10,4,0)</f>
        <v>Failed</v>
      </c>
    </row>
    <row r="57" spans="1:10" x14ac:dyDescent="0.25">
      <c r="A57" s="40">
        <v>44</v>
      </c>
      <c r="B57" s="40">
        <f>'DATA ENTRY'!B69</f>
        <v>0</v>
      </c>
      <c r="C57" s="55">
        <f>'DATA ENTRY'!C69</f>
        <v>0</v>
      </c>
      <c r="D57" s="56">
        <f>PRELIM!Q57</f>
        <v>0</v>
      </c>
      <c r="E57" s="56">
        <f>MIDTERM!Q57</f>
        <v>0</v>
      </c>
      <c r="F57" s="56">
        <f>FINAL!Q57</f>
        <v>0</v>
      </c>
      <c r="G57" s="57">
        <f t="shared" si="0"/>
        <v>0</v>
      </c>
      <c r="H57" s="40" t="e">
        <f>VLOOKUP(G57,TGQC!$X$1:$Y$990,2)</f>
        <v>#N/A</v>
      </c>
      <c r="I57" s="40" t="e">
        <f>VLOOKUP(H57,TGQC!$H$1:$I$13,2)</f>
        <v>#N/A</v>
      </c>
      <c r="J57" s="40" t="e">
        <f>VLOOKUP(I57&amp;"-"&amp;FINAL!S57,TGQC!$S$1:$V$10,4,0)</f>
        <v>#N/A</v>
      </c>
    </row>
    <row r="58" spans="1:10" x14ac:dyDescent="0.25">
      <c r="A58" s="40">
        <v>45</v>
      </c>
      <c r="B58" s="40">
        <f>'DATA ENTRY'!B70</f>
        <v>0</v>
      </c>
      <c r="C58" s="55">
        <f>'DATA ENTRY'!C70</f>
        <v>0</v>
      </c>
      <c r="D58" s="56">
        <f>PRELIM!Q58</f>
        <v>0</v>
      </c>
      <c r="E58" s="56">
        <f>MIDTERM!Q58</f>
        <v>0</v>
      </c>
      <c r="F58" s="56">
        <f>FINAL!Q58</f>
        <v>0</v>
      </c>
      <c r="G58" s="57">
        <f t="shared" si="0"/>
        <v>0</v>
      </c>
      <c r="H58" s="40" t="e">
        <f>VLOOKUP(G58,TGQC!$X$1:$Y$990,2)</f>
        <v>#N/A</v>
      </c>
      <c r="I58" s="40" t="e">
        <f>VLOOKUP(H58,TGQC!$H$1:$I$13,2)</f>
        <v>#N/A</v>
      </c>
      <c r="J58" s="40" t="e">
        <f>VLOOKUP(I58&amp;"-"&amp;FINAL!S58,TGQC!$S$1:$V$10,4,0)</f>
        <v>#N/A</v>
      </c>
    </row>
    <row r="59" spans="1:10" x14ac:dyDescent="0.25">
      <c r="A59" s="40">
        <v>46</v>
      </c>
      <c r="B59" s="40">
        <f>'DATA ENTRY'!B71</f>
        <v>0</v>
      </c>
      <c r="C59" s="55">
        <f>'DATA ENTRY'!C71</f>
        <v>0</v>
      </c>
      <c r="D59" s="56">
        <f>PRELIM!Q59</f>
        <v>0</v>
      </c>
      <c r="E59" s="56">
        <f>MIDTERM!Q59</f>
        <v>0</v>
      </c>
      <c r="F59" s="56">
        <f>FINAL!Q59</f>
        <v>0</v>
      </c>
      <c r="G59" s="57">
        <f t="shared" si="0"/>
        <v>0</v>
      </c>
      <c r="H59" s="40" t="e">
        <f>VLOOKUP(G59,TGQC!$X$1:$Y$990,2)</f>
        <v>#N/A</v>
      </c>
      <c r="I59" s="40" t="e">
        <f>VLOOKUP(H59,TGQC!$H$1:$I$13,2)</f>
        <v>#N/A</v>
      </c>
      <c r="J59" s="40" t="e">
        <f>VLOOKUP(I59&amp;"-"&amp;FINAL!S59,TGQC!$S$1:$V$10,4,0)</f>
        <v>#N/A</v>
      </c>
    </row>
    <row r="60" spans="1:10" x14ac:dyDescent="0.25">
      <c r="A60" s="40">
        <v>47</v>
      </c>
      <c r="B60" s="40">
        <f>'DATA ENTRY'!B72</f>
        <v>0</v>
      </c>
      <c r="C60" s="55">
        <f>'DATA ENTRY'!C72</f>
        <v>0</v>
      </c>
      <c r="D60" s="56">
        <f>PRELIM!Q60</f>
        <v>0</v>
      </c>
      <c r="E60" s="56">
        <f>MIDTERM!Q60</f>
        <v>0</v>
      </c>
      <c r="F60" s="56">
        <f>FINAL!Q60</f>
        <v>0</v>
      </c>
      <c r="G60" s="57">
        <f t="shared" si="0"/>
        <v>0</v>
      </c>
      <c r="H60" s="40" t="e">
        <f>VLOOKUP(G60,TGQC!$X$1:$Y$990,2)</f>
        <v>#N/A</v>
      </c>
      <c r="I60" s="40" t="e">
        <f>VLOOKUP(H60,TGQC!$H$1:$I$13,2)</f>
        <v>#N/A</v>
      </c>
      <c r="J60" s="40" t="e">
        <f>VLOOKUP(I60&amp;"-"&amp;FINAL!S60,TGQC!$S$1:$V$10,4,0)</f>
        <v>#N/A</v>
      </c>
    </row>
    <row r="61" spans="1:10" x14ac:dyDescent="0.25">
      <c r="A61" s="40">
        <v>48</v>
      </c>
      <c r="B61" s="40">
        <f>'DATA ENTRY'!B73</f>
        <v>0</v>
      </c>
      <c r="C61" s="55">
        <f>'DATA ENTRY'!C73</f>
        <v>0</v>
      </c>
      <c r="D61" s="56">
        <f>PRELIM!Q61</f>
        <v>0</v>
      </c>
      <c r="E61" s="56">
        <f>MIDTERM!Q61</f>
        <v>0</v>
      </c>
      <c r="F61" s="56">
        <f>FINAL!Q61</f>
        <v>0</v>
      </c>
      <c r="G61" s="57">
        <f t="shared" si="0"/>
        <v>0</v>
      </c>
      <c r="H61" s="40" t="e">
        <f>VLOOKUP(G61,TGQC!$X$1:$Y$990,2)</f>
        <v>#N/A</v>
      </c>
      <c r="I61" s="40" t="e">
        <f>VLOOKUP(H61,TGQC!$H$1:$I$13,2)</f>
        <v>#N/A</v>
      </c>
      <c r="J61" s="40" t="e">
        <f>VLOOKUP(I61&amp;"-"&amp;FINAL!S61,TGQC!$S$1:$V$10,4,0)</f>
        <v>#N/A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7773437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21875" customWidth="1"/>
    <col min="22" max="22" width="12.44140625" customWidth="1"/>
    <col min="25" max="25" width="9.2187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77734375" defaultRowHeight="14.4" x14ac:dyDescent="0.3"/>
  <cols>
    <col min="1" max="1" width="45.7773437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2025-06-03T00:39:22Z</dcterms:modified>
</cp:coreProperties>
</file>