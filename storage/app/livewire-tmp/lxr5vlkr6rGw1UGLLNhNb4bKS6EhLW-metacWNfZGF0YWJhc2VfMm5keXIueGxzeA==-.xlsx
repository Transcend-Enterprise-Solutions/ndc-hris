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Mga Pang Aral\grades\wcc\2024-2025 2nd sem\"/>
    </mc:Choice>
  </mc:AlternateContent>
  <xr:revisionPtr revIDLastSave="0" documentId="13_ncr:1_{FD171669-5E74-4126-A78A-9E548D9BA115}" xr6:coauthVersionLast="47" xr6:coauthVersionMax="47" xr10:uidLastSave="{00000000-0000-0000-0000-000000000000}"/>
  <bookViews>
    <workbookView xWindow="-108" yWindow="-108" windowWidth="23256" windowHeight="12576" tabRatio="750" xr2:uid="{00000000-000D-0000-FFFF-FFFF00000000}"/>
  </bookViews>
  <sheets>
    <sheet name="DATA ENTRY" sheetId="1" r:id="rId1"/>
    <sheet name="PRELIM" sheetId="13" r:id="rId2"/>
    <sheet name="MIDTERM" sheetId="15" r:id="rId3"/>
    <sheet name="FINAL" sheetId="16" r:id="rId4"/>
    <sheet name="GRADE SHEET" sheetId="18" r:id="rId5"/>
    <sheet name="TGQC" sheetId="14" state="hidden" r:id="rId6"/>
    <sheet name="Data" sheetId="12" state="hidden" r:id="rId7"/>
  </sheets>
  <definedNames>
    <definedName name="_xlnm._FilterDatabase" localSheetId="6" hidden="1">Data!$A$1:$A$14</definedName>
  </definedNames>
  <calcPr calcId="181029"/>
</workbook>
</file>

<file path=xl/calcChain.xml><?xml version="1.0" encoding="utf-8"?>
<calcChain xmlns="http://schemas.openxmlformats.org/spreadsheetml/2006/main">
  <c r="S2" i="14" l="1"/>
  <c r="S3" i="14"/>
  <c r="S4" i="14"/>
  <c r="S5" i="14"/>
  <c r="S6" i="14"/>
  <c r="S7" i="14"/>
  <c r="S8" i="14"/>
  <c r="S9" i="14"/>
  <c r="S10" i="14"/>
  <c r="S1" i="14"/>
  <c r="N56" i="14" l="1"/>
  <c r="O15" i="13" l="1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4" i="13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4" i="16"/>
  <c r="I15" i="16"/>
  <c r="Q15" i="16" s="1"/>
  <c r="R15" i="16" s="1"/>
  <c r="I16" i="16"/>
  <c r="Q16" i="16" s="1"/>
  <c r="R16" i="16" s="1"/>
  <c r="I17" i="16"/>
  <c r="I18" i="16"/>
  <c r="I19" i="16"/>
  <c r="Q19" i="16" s="1"/>
  <c r="R19" i="16" s="1"/>
  <c r="I20" i="16"/>
  <c r="I21" i="16"/>
  <c r="I22" i="16"/>
  <c r="I23" i="16"/>
  <c r="Q23" i="16" s="1"/>
  <c r="R23" i="16" s="1"/>
  <c r="I24" i="16"/>
  <c r="Q24" i="16" s="1"/>
  <c r="R24" i="16" s="1"/>
  <c r="I25" i="16"/>
  <c r="I26" i="16"/>
  <c r="I27" i="16"/>
  <c r="I28" i="16"/>
  <c r="Q28" i="16" s="1"/>
  <c r="R28" i="16" s="1"/>
  <c r="I29" i="16"/>
  <c r="I30" i="16"/>
  <c r="Q30" i="16" s="1"/>
  <c r="R30" i="16" s="1"/>
  <c r="I31" i="16"/>
  <c r="Q31" i="16" s="1"/>
  <c r="R31" i="16" s="1"/>
  <c r="I32" i="16"/>
  <c r="I33" i="16"/>
  <c r="I34" i="16"/>
  <c r="I35" i="16"/>
  <c r="Q35" i="16" s="1"/>
  <c r="R35" i="16" s="1"/>
  <c r="I36" i="16"/>
  <c r="Q36" i="16" s="1"/>
  <c r="R36" i="16" s="1"/>
  <c r="I37" i="16"/>
  <c r="I38" i="16"/>
  <c r="Q38" i="16" s="1"/>
  <c r="R38" i="16" s="1"/>
  <c r="I39" i="16"/>
  <c r="Q39" i="16" s="1"/>
  <c r="R39" i="16" s="1"/>
  <c r="I40" i="16"/>
  <c r="I41" i="16"/>
  <c r="I42" i="16"/>
  <c r="I43" i="16"/>
  <c r="Q43" i="16" s="1"/>
  <c r="R43" i="16" s="1"/>
  <c r="I44" i="16"/>
  <c r="Q44" i="16" s="1"/>
  <c r="R44" i="16" s="1"/>
  <c r="I45" i="16"/>
  <c r="Q45" i="16" s="1"/>
  <c r="R45" i="16" s="1"/>
  <c r="I46" i="16"/>
  <c r="Q46" i="16" s="1"/>
  <c r="R46" i="16" s="1"/>
  <c r="I47" i="16"/>
  <c r="Q47" i="16" s="1"/>
  <c r="R47" i="16" s="1"/>
  <c r="I48" i="16"/>
  <c r="Q48" i="16" s="1"/>
  <c r="R48" i="16" s="1"/>
  <c r="I49" i="16"/>
  <c r="Q49" i="16" s="1"/>
  <c r="R49" i="16" s="1"/>
  <c r="I50" i="16"/>
  <c r="Q50" i="16" s="1"/>
  <c r="R50" i="16" s="1"/>
  <c r="I51" i="16"/>
  <c r="Q51" i="16" s="1"/>
  <c r="R51" i="16" s="1"/>
  <c r="I52" i="16"/>
  <c r="Q52" i="16" s="1"/>
  <c r="R52" i="16" s="1"/>
  <c r="I53" i="16"/>
  <c r="Q53" i="16" s="1"/>
  <c r="R53" i="16" s="1"/>
  <c r="I54" i="16"/>
  <c r="Q54" i="16" s="1"/>
  <c r="R54" i="16" s="1"/>
  <c r="I55" i="16"/>
  <c r="Q55" i="16" s="1"/>
  <c r="R55" i="16" s="1"/>
  <c r="I56" i="16"/>
  <c r="Q56" i="16" s="1"/>
  <c r="R56" i="16" s="1"/>
  <c r="I57" i="16"/>
  <c r="Q57" i="16" s="1"/>
  <c r="R57" i="16" s="1"/>
  <c r="I58" i="16"/>
  <c r="Q58" i="16" s="1"/>
  <c r="R58" i="16" s="1"/>
  <c r="I59" i="16"/>
  <c r="Q59" i="16" s="1"/>
  <c r="R59" i="16" s="1"/>
  <c r="I60" i="16"/>
  <c r="Q60" i="16" s="1"/>
  <c r="R60" i="16" s="1"/>
  <c r="I61" i="16"/>
  <c r="Q61" i="16" s="1"/>
  <c r="R61" i="16" s="1"/>
  <c r="I62" i="16"/>
  <c r="Q62" i="16" s="1"/>
  <c r="R62" i="16" s="1"/>
  <c r="I63" i="16"/>
  <c r="Q63" i="16" s="1"/>
  <c r="R63" i="16" s="1"/>
  <c r="I64" i="16"/>
  <c r="Q64" i="16" s="1"/>
  <c r="R64" i="16" s="1"/>
  <c r="I65" i="16"/>
  <c r="Q65" i="16" s="1"/>
  <c r="R65" i="16" s="1"/>
  <c r="I66" i="16"/>
  <c r="Q66" i="16" s="1"/>
  <c r="R66" i="16" s="1"/>
  <c r="I67" i="16"/>
  <c r="Q67" i="16" s="1"/>
  <c r="R67" i="16" s="1"/>
  <c r="I68" i="16"/>
  <c r="Q68" i="16" s="1"/>
  <c r="R68" i="16" s="1"/>
  <c r="I69" i="16"/>
  <c r="Q69" i="16" s="1"/>
  <c r="R69" i="16" s="1"/>
  <c r="I70" i="16"/>
  <c r="Q70" i="16" s="1"/>
  <c r="R70" i="16" s="1"/>
  <c r="I71" i="16"/>
  <c r="Q71" i="16" s="1"/>
  <c r="R71" i="16" s="1"/>
  <c r="I72" i="16"/>
  <c r="Q72" i="16" s="1"/>
  <c r="R72" i="16" s="1"/>
  <c r="I73" i="16"/>
  <c r="Q73" i="16" s="1"/>
  <c r="R73" i="16" s="1"/>
  <c r="I74" i="16"/>
  <c r="Q74" i="16" s="1"/>
  <c r="R74" i="16" s="1"/>
  <c r="I75" i="16"/>
  <c r="Q75" i="16" s="1"/>
  <c r="R75" i="16" s="1"/>
  <c r="I76" i="16"/>
  <c r="Q76" i="16" s="1"/>
  <c r="R76" i="16" s="1"/>
  <c r="I77" i="16"/>
  <c r="Q77" i="16" s="1"/>
  <c r="R77" i="16" s="1"/>
  <c r="I78" i="16"/>
  <c r="Q78" i="16" s="1"/>
  <c r="R78" i="16" s="1"/>
  <c r="I79" i="16"/>
  <c r="Q79" i="16" s="1"/>
  <c r="R79" i="16" s="1"/>
  <c r="I80" i="16"/>
  <c r="Q80" i="16" s="1"/>
  <c r="R80" i="16" s="1"/>
  <c r="I81" i="16"/>
  <c r="Q81" i="16" s="1"/>
  <c r="R81" i="16" s="1"/>
  <c r="I82" i="16"/>
  <c r="Q82" i="16" s="1"/>
  <c r="R82" i="16" s="1"/>
  <c r="I83" i="16"/>
  <c r="Q83" i="16" s="1"/>
  <c r="R83" i="16" s="1"/>
  <c r="I84" i="16"/>
  <c r="Q84" i="16" s="1"/>
  <c r="R84" i="16" s="1"/>
  <c r="I85" i="16"/>
  <c r="Q85" i="16" s="1"/>
  <c r="R85" i="16" s="1"/>
  <c r="I86" i="16"/>
  <c r="Q86" i="16" s="1"/>
  <c r="R86" i="16" s="1"/>
  <c r="I87" i="16"/>
  <c r="Q87" i="16" s="1"/>
  <c r="R87" i="16" s="1"/>
  <c r="I88" i="16"/>
  <c r="Q88" i="16" s="1"/>
  <c r="R88" i="16" s="1"/>
  <c r="I89" i="16"/>
  <c r="Q89" i="16" s="1"/>
  <c r="R89" i="16" s="1"/>
  <c r="I90" i="16"/>
  <c r="Q90" i="16" s="1"/>
  <c r="R90" i="16" s="1"/>
  <c r="I91" i="16"/>
  <c r="Q91" i="16" s="1"/>
  <c r="R91" i="16" s="1"/>
  <c r="I92" i="16"/>
  <c r="Q92" i="16" s="1"/>
  <c r="R92" i="16" s="1"/>
  <c r="I93" i="16"/>
  <c r="Q93" i="16" s="1"/>
  <c r="R93" i="16" s="1"/>
  <c r="I94" i="16"/>
  <c r="Q94" i="16" s="1"/>
  <c r="R94" i="16" s="1"/>
  <c r="I95" i="16"/>
  <c r="Q95" i="16" s="1"/>
  <c r="R95" i="16" s="1"/>
  <c r="I96" i="16"/>
  <c r="Q96" i="16" s="1"/>
  <c r="R96" i="16" s="1"/>
  <c r="I97" i="16"/>
  <c r="Q97" i="16" s="1"/>
  <c r="R97" i="16" s="1"/>
  <c r="I98" i="16"/>
  <c r="Q98" i="16" s="1"/>
  <c r="R98" i="16" s="1"/>
  <c r="I99" i="16"/>
  <c r="Q99" i="16" s="1"/>
  <c r="R99" i="16" s="1"/>
  <c r="I100" i="16"/>
  <c r="Q100" i="16" s="1"/>
  <c r="R100" i="16" s="1"/>
  <c r="I101" i="16"/>
  <c r="Q101" i="16" s="1"/>
  <c r="R101" i="16" s="1"/>
  <c r="I102" i="16"/>
  <c r="Q102" i="16" s="1"/>
  <c r="R102" i="16" s="1"/>
  <c r="I103" i="16"/>
  <c r="Q103" i="16" s="1"/>
  <c r="R103" i="16" s="1"/>
  <c r="I104" i="16"/>
  <c r="Q104" i="16" s="1"/>
  <c r="R104" i="16" s="1"/>
  <c r="I105" i="16"/>
  <c r="Q105" i="16" s="1"/>
  <c r="R105" i="16" s="1"/>
  <c r="I106" i="16"/>
  <c r="Q106" i="16" s="1"/>
  <c r="R106" i="16" s="1"/>
  <c r="I107" i="16"/>
  <c r="Q107" i="16" s="1"/>
  <c r="R107" i="16" s="1"/>
  <c r="I108" i="16"/>
  <c r="Q108" i="16" s="1"/>
  <c r="R108" i="16" s="1"/>
  <c r="I109" i="16"/>
  <c r="Q109" i="16" s="1"/>
  <c r="R109" i="16" s="1"/>
  <c r="I110" i="16"/>
  <c r="Q110" i="16" s="1"/>
  <c r="R110" i="16" s="1"/>
  <c r="I111" i="16"/>
  <c r="Q111" i="16" s="1"/>
  <c r="R111" i="16" s="1"/>
  <c r="I112" i="16"/>
  <c r="Q112" i="16" s="1"/>
  <c r="R112" i="16" s="1"/>
  <c r="I113" i="16"/>
  <c r="Q113" i="16" s="1"/>
  <c r="R113" i="16" s="1"/>
  <c r="I14" i="16"/>
  <c r="N53" i="14"/>
  <c r="N54" i="14"/>
  <c r="N55" i="14"/>
  <c r="Q42" i="16" l="1"/>
  <c r="R42" i="16" s="1"/>
  <c r="Q41" i="16"/>
  <c r="R41" i="16" s="1"/>
  <c r="Q40" i="16"/>
  <c r="R40" i="16" s="1"/>
  <c r="Q37" i="16"/>
  <c r="R37" i="16" s="1"/>
  <c r="Q34" i="16"/>
  <c r="R34" i="16" s="1"/>
  <c r="Q33" i="16"/>
  <c r="R33" i="16" s="1"/>
  <c r="Q32" i="16"/>
  <c r="R32" i="16" s="1"/>
  <c r="Q29" i="16"/>
  <c r="R29" i="16" s="1"/>
  <c r="Q22" i="16"/>
  <c r="R22" i="16" s="1"/>
  <c r="Q21" i="16"/>
  <c r="R21" i="16" s="1"/>
  <c r="Q20" i="16"/>
  <c r="R20" i="16" s="1"/>
  <c r="Q18" i="16"/>
  <c r="R18" i="16" s="1"/>
  <c r="Q17" i="16"/>
  <c r="R17" i="16" s="1"/>
  <c r="Q26" i="16"/>
  <c r="R26" i="16" s="1"/>
  <c r="Q25" i="16"/>
  <c r="R25" i="16" s="1"/>
  <c r="Q27" i="16"/>
  <c r="R27" i="16" s="1"/>
  <c r="Q14" i="16"/>
  <c r="R14" i="16" s="1"/>
  <c r="Q15" i="15"/>
  <c r="R15" i="15" s="1"/>
  <c r="Q16" i="15"/>
  <c r="R16" i="15" s="1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R109" i="13" l="1"/>
  <c r="S109" i="13" s="1"/>
  <c r="R105" i="13"/>
  <c r="S105" i="13" s="1"/>
  <c r="R101" i="13"/>
  <c r="S101" i="13" s="1"/>
  <c r="R97" i="13"/>
  <c r="S97" i="13" s="1"/>
  <c r="R93" i="13"/>
  <c r="S93" i="13" s="1"/>
  <c r="R89" i="13"/>
  <c r="S89" i="13" s="1"/>
  <c r="R85" i="13"/>
  <c r="S85" i="13" s="1"/>
  <c r="R81" i="13"/>
  <c r="S81" i="13" s="1"/>
  <c r="R77" i="13"/>
  <c r="S77" i="13" s="1"/>
  <c r="R73" i="13"/>
  <c r="S73" i="13" s="1"/>
  <c r="R69" i="13"/>
  <c r="S69" i="13" s="1"/>
  <c r="R65" i="13"/>
  <c r="S65" i="13" s="1"/>
  <c r="R110" i="15"/>
  <c r="S110" i="15" s="1"/>
  <c r="R106" i="15"/>
  <c r="S106" i="15" s="1"/>
  <c r="R102" i="15"/>
  <c r="S102" i="15" s="1"/>
  <c r="R98" i="15"/>
  <c r="S98" i="15" s="1"/>
  <c r="R94" i="15"/>
  <c r="S94" i="15" s="1"/>
  <c r="R90" i="15"/>
  <c r="S90" i="15" s="1"/>
  <c r="R86" i="15"/>
  <c r="S86" i="15" s="1"/>
  <c r="R82" i="15"/>
  <c r="S82" i="15" s="1"/>
  <c r="R78" i="15"/>
  <c r="S78" i="15" s="1"/>
  <c r="R74" i="15"/>
  <c r="S74" i="15" s="1"/>
  <c r="R70" i="15"/>
  <c r="S70" i="15" s="1"/>
  <c r="R66" i="15"/>
  <c r="S66" i="15" s="1"/>
  <c r="R62" i="15"/>
  <c r="S62" i="15" s="1"/>
  <c r="R58" i="15"/>
  <c r="S58" i="15" s="1"/>
  <c r="R54" i="15"/>
  <c r="S54" i="15" s="1"/>
  <c r="R50" i="15"/>
  <c r="S50" i="15" s="1"/>
  <c r="R46" i="15"/>
  <c r="S46" i="15" s="1"/>
  <c r="R42" i="15"/>
  <c r="S42" i="15" s="1"/>
  <c r="R104" i="13"/>
  <c r="S104" i="13" s="1"/>
  <c r="R92" i="13"/>
  <c r="S92" i="13" s="1"/>
  <c r="R80" i="13"/>
  <c r="S80" i="13" s="1"/>
  <c r="R68" i="13"/>
  <c r="S68" i="13" s="1"/>
  <c r="R64" i="13"/>
  <c r="S64" i="13" s="1"/>
  <c r="R113" i="15"/>
  <c r="S113" i="15" s="1"/>
  <c r="R109" i="15"/>
  <c r="S109" i="15" s="1"/>
  <c r="R105" i="15"/>
  <c r="S105" i="15" s="1"/>
  <c r="R101" i="15"/>
  <c r="S101" i="15" s="1"/>
  <c r="R97" i="15"/>
  <c r="S97" i="15" s="1"/>
  <c r="R93" i="15"/>
  <c r="S93" i="15" s="1"/>
  <c r="R89" i="15"/>
  <c r="S89" i="15" s="1"/>
  <c r="R85" i="15"/>
  <c r="S85" i="15" s="1"/>
  <c r="R81" i="15"/>
  <c r="S81" i="15" s="1"/>
  <c r="R77" i="15"/>
  <c r="S77" i="15" s="1"/>
  <c r="R73" i="15"/>
  <c r="S73" i="15" s="1"/>
  <c r="R69" i="15"/>
  <c r="S69" i="15" s="1"/>
  <c r="R65" i="15"/>
  <c r="S65" i="15" s="1"/>
  <c r="R61" i="15"/>
  <c r="S61" i="15" s="1"/>
  <c r="R57" i="15"/>
  <c r="S57" i="15" s="1"/>
  <c r="R53" i="15"/>
  <c r="S53" i="15" s="1"/>
  <c r="R49" i="15"/>
  <c r="S49" i="15" s="1"/>
  <c r="R45" i="15"/>
  <c r="S45" i="15" s="1"/>
  <c r="R41" i="15"/>
  <c r="S41" i="15" s="1"/>
  <c r="R108" i="13"/>
  <c r="S108" i="13" s="1"/>
  <c r="R96" i="13"/>
  <c r="S96" i="13" s="1"/>
  <c r="R84" i="13"/>
  <c r="S84" i="13" s="1"/>
  <c r="R76" i="13"/>
  <c r="S76" i="13" s="1"/>
  <c r="R111" i="13"/>
  <c r="S111" i="13" s="1"/>
  <c r="R107" i="13"/>
  <c r="S107" i="13" s="1"/>
  <c r="R103" i="13"/>
  <c r="S103" i="13" s="1"/>
  <c r="R99" i="13"/>
  <c r="S99" i="13" s="1"/>
  <c r="R95" i="13"/>
  <c r="S95" i="13" s="1"/>
  <c r="R91" i="13"/>
  <c r="S91" i="13" s="1"/>
  <c r="R87" i="13"/>
  <c r="S87" i="13" s="1"/>
  <c r="R83" i="13"/>
  <c r="S83" i="13" s="1"/>
  <c r="R79" i="13"/>
  <c r="S79" i="13" s="1"/>
  <c r="R75" i="13"/>
  <c r="S75" i="13" s="1"/>
  <c r="R71" i="13"/>
  <c r="S71" i="13" s="1"/>
  <c r="R67" i="13"/>
  <c r="S67" i="13" s="1"/>
  <c r="R63" i="13"/>
  <c r="S63" i="13" s="1"/>
  <c r="R112" i="15"/>
  <c r="S112" i="15" s="1"/>
  <c r="R108" i="15"/>
  <c r="S108" i="15" s="1"/>
  <c r="R104" i="15"/>
  <c r="S104" i="15" s="1"/>
  <c r="R100" i="15"/>
  <c r="S100" i="15" s="1"/>
  <c r="R96" i="15"/>
  <c r="S96" i="15" s="1"/>
  <c r="R92" i="15"/>
  <c r="S92" i="15" s="1"/>
  <c r="R88" i="15"/>
  <c r="S88" i="15" s="1"/>
  <c r="R84" i="15"/>
  <c r="S84" i="15" s="1"/>
  <c r="R80" i="15"/>
  <c r="S80" i="15" s="1"/>
  <c r="R76" i="15"/>
  <c r="S76" i="15" s="1"/>
  <c r="R72" i="15"/>
  <c r="S72" i="15" s="1"/>
  <c r="R68" i="15"/>
  <c r="S68" i="15" s="1"/>
  <c r="R64" i="15"/>
  <c r="S64" i="15" s="1"/>
  <c r="R60" i="15"/>
  <c r="S60" i="15" s="1"/>
  <c r="R56" i="15"/>
  <c r="S56" i="15" s="1"/>
  <c r="R52" i="15"/>
  <c r="S52" i="15" s="1"/>
  <c r="R48" i="15"/>
  <c r="S48" i="15" s="1"/>
  <c r="R44" i="15"/>
  <c r="S44" i="15" s="1"/>
  <c r="R40" i="15"/>
  <c r="S40" i="15" s="1"/>
  <c r="R112" i="13"/>
  <c r="S112" i="13" s="1"/>
  <c r="R100" i="13"/>
  <c r="S100" i="13" s="1"/>
  <c r="R88" i="13"/>
  <c r="S88" i="13" s="1"/>
  <c r="R72" i="13"/>
  <c r="S72" i="13" s="1"/>
  <c r="R110" i="13"/>
  <c r="S110" i="13" s="1"/>
  <c r="R106" i="13"/>
  <c r="S106" i="13" s="1"/>
  <c r="R102" i="13"/>
  <c r="S102" i="13" s="1"/>
  <c r="R98" i="13"/>
  <c r="S98" i="13" s="1"/>
  <c r="R94" i="13"/>
  <c r="S94" i="13" s="1"/>
  <c r="R90" i="13"/>
  <c r="S90" i="13" s="1"/>
  <c r="R86" i="13"/>
  <c r="S86" i="13" s="1"/>
  <c r="R82" i="13"/>
  <c r="S82" i="13" s="1"/>
  <c r="R78" i="13"/>
  <c r="S78" i="13" s="1"/>
  <c r="R74" i="13"/>
  <c r="S74" i="13" s="1"/>
  <c r="R70" i="13"/>
  <c r="S70" i="13" s="1"/>
  <c r="R66" i="13"/>
  <c r="S66" i="13" s="1"/>
  <c r="R111" i="15"/>
  <c r="S111" i="15" s="1"/>
  <c r="R107" i="15"/>
  <c r="S107" i="15" s="1"/>
  <c r="R103" i="15"/>
  <c r="S103" i="15" s="1"/>
  <c r="R99" i="15"/>
  <c r="S99" i="15" s="1"/>
  <c r="R95" i="15"/>
  <c r="S95" i="15" s="1"/>
  <c r="R91" i="15"/>
  <c r="S91" i="15" s="1"/>
  <c r="R87" i="15"/>
  <c r="S87" i="15" s="1"/>
  <c r="R83" i="15"/>
  <c r="S83" i="15" s="1"/>
  <c r="R79" i="15"/>
  <c r="S79" i="15" s="1"/>
  <c r="R75" i="15"/>
  <c r="S75" i="15" s="1"/>
  <c r="R71" i="15"/>
  <c r="S71" i="15" s="1"/>
  <c r="R67" i="15"/>
  <c r="S67" i="15" s="1"/>
  <c r="R63" i="15"/>
  <c r="S63" i="15" s="1"/>
  <c r="R59" i="15"/>
  <c r="S59" i="15" s="1"/>
  <c r="R55" i="15"/>
  <c r="S55" i="15" s="1"/>
  <c r="R51" i="15"/>
  <c r="S51" i="15" s="1"/>
  <c r="R47" i="15"/>
  <c r="S47" i="15" s="1"/>
  <c r="R43" i="15"/>
  <c r="S43" i="15" s="1"/>
  <c r="R39" i="15"/>
  <c r="S39" i="15" s="1"/>
  <c r="R61" i="13"/>
  <c r="S61" i="13" s="1"/>
  <c r="R62" i="13"/>
  <c r="S62" i="13" s="1"/>
  <c r="R60" i="13"/>
  <c r="S60" i="13" s="1"/>
  <c r="R59" i="13"/>
  <c r="S59" i="13" s="1"/>
  <c r="R56" i="13"/>
  <c r="S56" i="13" s="1"/>
  <c r="R52" i="13"/>
  <c r="S52" i="13" s="1"/>
  <c r="R48" i="13"/>
  <c r="S48" i="13" s="1"/>
  <c r="R44" i="13"/>
  <c r="S44" i="13" s="1"/>
  <c r="R40" i="13"/>
  <c r="S40" i="13" s="1"/>
  <c r="R36" i="13"/>
  <c r="S36" i="13" s="1"/>
  <c r="R32" i="13"/>
  <c r="S32" i="13" s="1"/>
  <c r="R28" i="13"/>
  <c r="S28" i="13" s="1"/>
  <c r="R24" i="13"/>
  <c r="S24" i="13" s="1"/>
  <c r="R55" i="13"/>
  <c r="S55" i="13" s="1"/>
  <c r="R51" i="13"/>
  <c r="S51" i="13" s="1"/>
  <c r="R47" i="13"/>
  <c r="S47" i="13" s="1"/>
  <c r="R43" i="13"/>
  <c r="S43" i="13" s="1"/>
  <c r="R39" i="13"/>
  <c r="S39" i="13" s="1"/>
  <c r="R35" i="13"/>
  <c r="S35" i="13" s="1"/>
  <c r="R31" i="13"/>
  <c r="S31" i="13" s="1"/>
  <c r="R27" i="13"/>
  <c r="S27" i="13" s="1"/>
  <c r="R23" i="13"/>
  <c r="S23" i="13" s="1"/>
  <c r="R58" i="13"/>
  <c r="S58" i="13" s="1"/>
  <c r="R54" i="13"/>
  <c r="S54" i="13" s="1"/>
  <c r="R50" i="13"/>
  <c r="S50" i="13" s="1"/>
  <c r="R46" i="13"/>
  <c r="S46" i="13" s="1"/>
  <c r="R42" i="13"/>
  <c r="S42" i="13" s="1"/>
  <c r="R38" i="13"/>
  <c r="S38" i="13" s="1"/>
  <c r="R34" i="13"/>
  <c r="S34" i="13" s="1"/>
  <c r="R30" i="13"/>
  <c r="S30" i="13" s="1"/>
  <c r="R26" i="13"/>
  <c r="S26" i="13" s="1"/>
  <c r="R57" i="13"/>
  <c r="S57" i="13" s="1"/>
  <c r="R53" i="13"/>
  <c r="S53" i="13" s="1"/>
  <c r="R49" i="13"/>
  <c r="S49" i="13" s="1"/>
  <c r="R45" i="13"/>
  <c r="S45" i="13" s="1"/>
  <c r="R41" i="13"/>
  <c r="S41" i="13" s="1"/>
  <c r="R37" i="13"/>
  <c r="S37" i="13" s="1"/>
  <c r="R33" i="13"/>
  <c r="S33" i="13" s="1"/>
  <c r="R29" i="13"/>
  <c r="S29" i="13" s="1"/>
  <c r="R25" i="13"/>
  <c r="S25" i="13" s="1"/>
  <c r="R37" i="15"/>
  <c r="S37" i="15" s="1"/>
  <c r="R36" i="15"/>
  <c r="S36" i="15" s="1"/>
  <c r="R38" i="15"/>
  <c r="S38" i="15" s="1"/>
  <c r="R35" i="15"/>
  <c r="S35" i="15" s="1"/>
  <c r="R33" i="15"/>
  <c r="S33" i="15" s="1"/>
  <c r="R25" i="15"/>
  <c r="S25" i="15" s="1"/>
  <c r="R32" i="15"/>
  <c r="S32" i="15" s="1"/>
  <c r="R28" i="15"/>
  <c r="S28" i="15" s="1"/>
  <c r="R24" i="15"/>
  <c r="S24" i="15" s="1"/>
  <c r="R27" i="15"/>
  <c r="S27" i="15" s="1"/>
  <c r="R29" i="15"/>
  <c r="S29" i="15" s="1"/>
  <c r="R31" i="15"/>
  <c r="S31" i="15" s="1"/>
  <c r="R23" i="15"/>
  <c r="S23" i="15" s="1"/>
  <c r="R34" i="15"/>
  <c r="S34" i="15" s="1"/>
  <c r="R30" i="15"/>
  <c r="S30" i="15" s="1"/>
  <c r="R26" i="15"/>
  <c r="S26" i="15" s="1"/>
  <c r="R20" i="15"/>
  <c r="S20" i="15" s="1"/>
  <c r="R19" i="15"/>
  <c r="S19" i="15" s="1"/>
  <c r="R21" i="15"/>
  <c r="S21" i="15" s="1"/>
  <c r="R17" i="15"/>
  <c r="S17" i="15" s="1"/>
  <c r="R22" i="15"/>
  <c r="S22" i="15" s="1"/>
  <c r="R18" i="15"/>
  <c r="S18" i="15" s="1"/>
  <c r="R22" i="13"/>
  <c r="S22" i="13" s="1"/>
  <c r="R21" i="13"/>
  <c r="S21" i="13" s="1"/>
  <c r="R20" i="13"/>
  <c r="S20" i="13" s="1"/>
  <c r="R19" i="13"/>
  <c r="S19" i="13" s="1"/>
  <c r="R18" i="13"/>
  <c r="S18" i="13" s="1"/>
  <c r="R17" i="13"/>
  <c r="S17" i="13" s="1"/>
  <c r="S16" i="15"/>
  <c r="S15" i="15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C14" i="16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9" i="14"/>
  <c r="N10" i="14"/>
  <c r="N11" i="14"/>
  <c r="N12" i="14"/>
  <c r="N13" i="14"/>
  <c r="N7" i="14"/>
  <c r="N8" i="14"/>
  <c r="N4" i="14"/>
  <c r="N5" i="14"/>
  <c r="N6" i="14"/>
  <c r="N2" i="14"/>
  <c r="N3" i="14"/>
  <c r="N1" i="14"/>
  <c r="S16" i="16" l="1"/>
  <c r="S112" i="16"/>
  <c r="S108" i="16"/>
  <c r="S104" i="16"/>
  <c r="S100" i="16"/>
  <c r="S94" i="16"/>
  <c r="S89" i="16"/>
  <c r="S84" i="16"/>
  <c r="S78" i="16"/>
  <c r="S72" i="16"/>
  <c r="S64" i="16"/>
  <c r="S56" i="16"/>
  <c r="S48" i="16"/>
  <c r="S40" i="16"/>
  <c r="S32" i="16"/>
  <c r="S24" i="16"/>
  <c r="S15" i="16"/>
  <c r="S19" i="16"/>
  <c r="S23" i="16"/>
  <c r="S27" i="16"/>
  <c r="S31" i="16"/>
  <c r="S35" i="16"/>
  <c r="S39" i="16"/>
  <c r="S43" i="16"/>
  <c r="S47" i="16"/>
  <c r="S51" i="16"/>
  <c r="S55" i="16"/>
  <c r="S59" i="16"/>
  <c r="S63" i="16"/>
  <c r="S67" i="16"/>
  <c r="S71" i="16"/>
  <c r="S75" i="16"/>
  <c r="S79" i="16"/>
  <c r="S83" i="16"/>
  <c r="S87" i="16"/>
  <c r="S91" i="16"/>
  <c r="S95" i="16"/>
  <c r="S99" i="16"/>
  <c r="S17" i="16"/>
  <c r="S21" i="16"/>
  <c r="S25" i="16"/>
  <c r="S29" i="16"/>
  <c r="S33" i="16"/>
  <c r="S37" i="16"/>
  <c r="S41" i="16"/>
  <c r="S45" i="16"/>
  <c r="S49" i="16"/>
  <c r="S53" i="16"/>
  <c r="S57" i="16"/>
  <c r="S61" i="16"/>
  <c r="S65" i="16"/>
  <c r="S69" i="16"/>
  <c r="S73" i="16"/>
  <c r="S111" i="16"/>
  <c r="S107" i="16"/>
  <c r="S103" i="16"/>
  <c r="S98" i="16"/>
  <c r="S93" i="16"/>
  <c r="S88" i="16"/>
  <c r="S82" i="16"/>
  <c r="S77" i="16"/>
  <c r="S70" i="16"/>
  <c r="S62" i="16"/>
  <c r="S54" i="16"/>
  <c r="S46" i="16"/>
  <c r="S38" i="16"/>
  <c r="S30" i="16"/>
  <c r="S22" i="16"/>
  <c r="S110" i="16"/>
  <c r="S106" i="16"/>
  <c r="S102" i="16"/>
  <c r="S97" i="16"/>
  <c r="S92" i="16"/>
  <c r="S86" i="16"/>
  <c r="S81" i="16"/>
  <c r="S76" i="16"/>
  <c r="S68" i="16"/>
  <c r="S60" i="16"/>
  <c r="S52" i="16"/>
  <c r="S44" i="16"/>
  <c r="S36" i="16"/>
  <c r="S28" i="16"/>
  <c r="S20" i="16"/>
  <c r="S113" i="16"/>
  <c r="S109" i="16"/>
  <c r="S105" i="16"/>
  <c r="S101" i="16"/>
  <c r="S96" i="16"/>
  <c r="S90" i="16"/>
  <c r="S85" i="16"/>
  <c r="S80" i="16"/>
  <c r="S74" i="16"/>
  <c r="S66" i="16"/>
  <c r="S58" i="16"/>
  <c r="S50" i="16"/>
  <c r="S42" i="16"/>
  <c r="S34" i="16"/>
  <c r="S26" i="16"/>
  <c r="S18" i="16"/>
  <c r="S14" i="16"/>
  <c r="C11" i="18"/>
  <c r="C10" i="16"/>
  <c r="C10" i="15"/>
  <c r="C10" i="13"/>
  <c r="G10" i="18" l="1"/>
  <c r="G9" i="18"/>
  <c r="G8" i="18"/>
  <c r="G7" i="18"/>
  <c r="G6" i="18"/>
  <c r="C10" i="18"/>
  <c r="C9" i="18"/>
  <c r="C8" i="18"/>
  <c r="B6" i="16"/>
  <c r="B6" i="15"/>
  <c r="B6" i="13"/>
  <c r="B7" i="18"/>
  <c r="C7" i="18"/>
  <c r="C6" i="18"/>
  <c r="H4" i="18"/>
  <c r="C4" i="18"/>
  <c r="A2" i="18"/>
  <c r="B15" i="18" l="1"/>
  <c r="C15" i="18"/>
  <c r="B16" i="18"/>
  <c r="C16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B23" i="18"/>
  <c r="C23" i="18"/>
  <c r="B24" i="18"/>
  <c r="C24" i="18"/>
  <c r="B25" i="18"/>
  <c r="C25" i="18"/>
  <c r="B26" i="18"/>
  <c r="C2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33" i="18"/>
  <c r="C33" i="18"/>
  <c r="B34" i="18"/>
  <c r="C34" i="18"/>
  <c r="B35" i="18"/>
  <c r="C35" i="18"/>
  <c r="B36" i="18"/>
  <c r="C36" i="18"/>
  <c r="B37" i="18"/>
  <c r="C37" i="18"/>
  <c r="B38" i="18"/>
  <c r="C38" i="18"/>
  <c r="B39" i="18"/>
  <c r="C39" i="18"/>
  <c r="B40" i="18"/>
  <c r="C40" i="18"/>
  <c r="B41" i="18"/>
  <c r="C41" i="18"/>
  <c r="B42" i="18"/>
  <c r="C42" i="18"/>
  <c r="B43" i="18"/>
  <c r="C43" i="18"/>
  <c r="B44" i="18"/>
  <c r="C44" i="18"/>
  <c r="B45" i="18"/>
  <c r="C45" i="18"/>
  <c r="B46" i="18"/>
  <c r="C46" i="18"/>
  <c r="B47" i="18"/>
  <c r="C47" i="18"/>
  <c r="B48" i="18"/>
  <c r="C48" i="18"/>
  <c r="B49" i="18"/>
  <c r="C49" i="18"/>
  <c r="B50" i="18"/>
  <c r="C50" i="18"/>
  <c r="B51" i="18"/>
  <c r="C51" i="18"/>
  <c r="B52" i="18"/>
  <c r="C52" i="18"/>
  <c r="B53" i="18"/>
  <c r="C53" i="18"/>
  <c r="B54" i="18"/>
  <c r="C54" i="18"/>
  <c r="B55" i="18"/>
  <c r="C55" i="18"/>
  <c r="B56" i="18"/>
  <c r="C56" i="18"/>
  <c r="B57" i="18"/>
  <c r="C57" i="18"/>
  <c r="B58" i="18"/>
  <c r="C58" i="18"/>
  <c r="B59" i="18"/>
  <c r="C59" i="18"/>
  <c r="B60" i="18"/>
  <c r="C60" i="18"/>
  <c r="B61" i="18"/>
  <c r="C61" i="18"/>
  <c r="B62" i="18"/>
  <c r="C62" i="18"/>
  <c r="B63" i="18"/>
  <c r="C63" i="18"/>
  <c r="B64" i="18"/>
  <c r="C64" i="18"/>
  <c r="B65" i="18"/>
  <c r="C65" i="18"/>
  <c r="B66" i="18"/>
  <c r="C66" i="18"/>
  <c r="B67" i="18"/>
  <c r="C67" i="18"/>
  <c r="B68" i="18"/>
  <c r="C68" i="18"/>
  <c r="B69" i="18"/>
  <c r="C69" i="18"/>
  <c r="B70" i="18"/>
  <c r="C70" i="18"/>
  <c r="B71" i="18"/>
  <c r="C71" i="18"/>
  <c r="B72" i="18"/>
  <c r="C72" i="18"/>
  <c r="B73" i="18"/>
  <c r="C73" i="18"/>
  <c r="B74" i="18"/>
  <c r="C74" i="18"/>
  <c r="B75" i="18"/>
  <c r="C75" i="18"/>
  <c r="B76" i="18"/>
  <c r="C76" i="18"/>
  <c r="B77" i="18"/>
  <c r="C77" i="18"/>
  <c r="B78" i="18"/>
  <c r="C78" i="18"/>
  <c r="B79" i="18"/>
  <c r="C79" i="18"/>
  <c r="B80" i="18"/>
  <c r="C80" i="18"/>
  <c r="B81" i="18"/>
  <c r="C81" i="18"/>
  <c r="B82" i="18"/>
  <c r="C82" i="18"/>
  <c r="B83" i="18"/>
  <c r="C83" i="18"/>
  <c r="B84" i="18"/>
  <c r="C84" i="18"/>
  <c r="B85" i="18"/>
  <c r="C85" i="18"/>
  <c r="B86" i="18"/>
  <c r="C86" i="18"/>
  <c r="B87" i="18"/>
  <c r="C87" i="18"/>
  <c r="B88" i="18"/>
  <c r="C88" i="18"/>
  <c r="B89" i="18"/>
  <c r="C89" i="18"/>
  <c r="B90" i="18"/>
  <c r="C90" i="18"/>
  <c r="B91" i="18"/>
  <c r="C91" i="18"/>
  <c r="B92" i="18"/>
  <c r="C92" i="18"/>
  <c r="B93" i="18"/>
  <c r="C93" i="18"/>
  <c r="B94" i="18"/>
  <c r="C94" i="18"/>
  <c r="B95" i="18"/>
  <c r="C95" i="18"/>
  <c r="B96" i="18"/>
  <c r="C96" i="18"/>
  <c r="B97" i="18"/>
  <c r="C97" i="18"/>
  <c r="B98" i="18"/>
  <c r="C98" i="18"/>
  <c r="B99" i="18"/>
  <c r="C99" i="18"/>
  <c r="B100" i="18"/>
  <c r="C100" i="18"/>
  <c r="B101" i="18"/>
  <c r="C101" i="18"/>
  <c r="B102" i="18"/>
  <c r="C102" i="18"/>
  <c r="B103" i="18"/>
  <c r="C103" i="18"/>
  <c r="B104" i="18"/>
  <c r="C104" i="18"/>
  <c r="B105" i="18"/>
  <c r="C105" i="18"/>
  <c r="B106" i="18"/>
  <c r="C106" i="18"/>
  <c r="B107" i="18"/>
  <c r="C107" i="18"/>
  <c r="B108" i="18"/>
  <c r="C108" i="18"/>
  <c r="B109" i="18"/>
  <c r="C109" i="18"/>
  <c r="B110" i="18"/>
  <c r="C110" i="18"/>
  <c r="B111" i="18"/>
  <c r="C111" i="18"/>
  <c r="B112" i="18"/>
  <c r="C112" i="18"/>
  <c r="B113" i="18"/>
  <c r="C113" i="18"/>
  <c r="C14" i="18"/>
  <c r="B14" i="18"/>
  <c r="B14" i="16"/>
  <c r="C9" i="16"/>
  <c r="K8" i="16"/>
  <c r="C8" i="16"/>
  <c r="K7" i="16"/>
  <c r="C7" i="16"/>
  <c r="Q6" i="16"/>
  <c r="K6" i="16"/>
  <c r="C6" i="16"/>
  <c r="Q5" i="16"/>
  <c r="K5" i="16"/>
  <c r="C5" i="16"/>
  <c r="A2" i="16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Q14" i="15"/>
  <c r="R14" i="15" s="1"/>
  <c r="C14" i="15"/>
  <c r="B14" i="15"/>
  <c r="C9" i="15"/>
  <c r="K8" i="15"/>
  <c r="C8" i="15"/>
  <c r="K7" i="15"/>
  <c r="C7" i="15"/>
  <c r="Q6" i="15"/>
  <c r="K6" i="15"/>
  <c r="C6" i="15"/>
  <c r="Q5" i="15"/>
  <c r="K5" i="15"/>
  <c r="C5" i="15"/>
  <c r="A2" i="15"/>
  <c r="Q6" i="13"/>
  <c r="Q5" i="13"/>
  <c r="K8" i="13"/>
  <c r="K7" i="13"/>
  <c r="K6" i="13"/>
  <c r="K5" i="13"/>
  <c r="C9" i="13"/>
  <c r="C8" i="13"/>
  <c r="C7" i="13"/>
  <c r="C6" i="13"/>
  <c r="C5" i="13"/>
  <c r="A2" i="13"/>
  <c r="A29" i="1"/>
  <c r="A30" i="1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100" i="13"/>
  <c r="C100" i="13"/>
  <c r="B101" i="13"/>
  <c r="C101" i="13"/>
  <c r="B102" i="13"/>
  <c r="C102" i="13"/>
  <c r="B103" i="13"/>
  <c r="C103" i="13"/>
  <c r="B104" i="13"/>
  <c r="C104" i="13"/>
  <c r="B105" i="13"/>
  <c r="C105" i="13"/>
  <c r="B106" i="13"/>
  <c r="C106" i="13"/>
  <c r="B107" i="13"/>
  <c r="C107" i="13"/>
  <c r="B108" i="13"/>
  <c r="C108" i="13"/>
  <c r="B109" i="13"/>
  <c r="C109" i="13"/>
  <c r="B110" i="13"/>
  <c r="C110" i="13"/>
  <c r="B111" i="13"/>
  <c r="C111" i="13"/>
  <c r="B112" i="13"/>
  <c r="C112" i="13"/>
  <c r="B113" i="13"/>
  <c r="C113" i="13"/>
  <c r="C14" i="13"/>
  <c r="B14" i="13"/>
  <c r="S14" i="15" l="1"/>
  <c r="F99" i="18"/>
  <c r="F67" i="18"/>
  <c r="F35" i="18"/>
  <c r="F88" i="18"/>
  <c r="F56" i="18"/>
  <c r="F24" i="18"/>
  <c r="F83" i="18"/>
  <c r="F51" i="18"/>
  <c r="F19" i="18"/>
  <c r="F104" i="18"/>
  <c r="F72" i="18"/>
  <c r="F40" i="18"/>
  <c r="E28" i="18"/>
  <c r="F112" i="18"/>
  <c r="F96" i="18"/>
  <c r="F80" i="18"/>
  <c r="F64" i="18"/>
  <c r="F48" i="18"/>
  <c r="F32" i="18"/>
  <c r="F16" i="18"/>
  <c r="F107" i="18"/>
  <c r="F91" i="18"/>
  <c r="F75" i="18"/>
  <c r="F59" i="18"/>
  <c r="F43" i="18"/>
  <c r="F27" i="18"/>
  <c r="E92" i="18"/>
  <c r="E71" i="18"/>
  <c r="F111" i="18"/>
  <c r="F103" i="18"/>
  <c r="F95" i="18"/>
  <c r="F87" i="18"/>
  <c r="F79" i="18"/>
  <c r="F71" i="18"/>
  <c r="F63" i="18"/>
  <c r="F55" i="18"/>
  <c r="F47" i="18"/>
  <c r="F39" i="18"/>
  <c r="F31" i="18"/>
  <c r="F23" i="18"/>
  <c r="F15" i="18"/>
  <c r="E50" i="18"/>
  <c r="F108" i="18"/>
  <c r="F100" i="18"/>
  <c r="F92" i="18"/>
  <c r="F84" i="18"/>
  <c r="F76" i="18"/>
  <c r="F68" i="18"/>
  <c r="F60" i="18"/>
  <c r="F52" i="18"/>
  <c r="F44" i="18"/>
  <c r="F36" i="18"/>
  <c r="F28" i="18"/>
  <c r="F20" i="18"/>
  <c r="E108" i="18"/>
  <c r="E87" i="18"/>
  <c r="E66" i="18"/>
  <c r="E44" i="18"/>
  <c r="E23" i="18"/>
  <c r="E103" i="18"/>
  <c r="E82" i="18"/>
  <c r="E60" i="18"/>
  <c r="E39" i="18"/>
  <c r="E18" i="18"/>
  <c r="F110" i="18"/>
  <c r="F106" i="18"/>
  <c r="F102" i="18"/>
  <c r="F98" i="18"/>
  <c r="F94" i="18"/>
  <c r="F90" i="18"/>
  <c r="F86" i="18"/>
  <c r="F82" i="18"/>
  <c r="F78" i="18"/>
  <c r="F74" i="18"/>
  <c r="F70" i="18"/>
  <c r="F66" i="18"/>
  <c r="F62" i="18"/>
  <c r="F58" i="18"/>
  <c r="F54" i="18"/>
  <c r="F50" i="18"/>
  <c r="F46" i="18"/>
  <c r="F42" i="18"/>
  <c r="F38" i="18"/>
  <c r="F34" i="18"/>
  <c r="F30" i="18"/>
  <c r="F26" i="18"/>
  <c r="F22" i="18"/>
  <c r="F18" i="18"/>
  <c r="E98" i="18"/>
  <c r="E76" i="18"/>
  <c r="E55" i="18"/>
  <c r="E34" i="18"/>
  <c r="F113" i="18"/>
  <c r="F109" i="18"/>
  <c r="F105" i="18"/>
  <c r="F101" i="18"/>
  <c r="F97" i="18"/>
  <c r="F93" i="18"/>
  <c r="F89" i="18"/>
  <c r="F85" i="18"/>
  <c r="F81" i="18"/>
  <c r="F77" i="18"/>
  <c r="F73" i="18"/>
  <c r="F69" i="18"/>
  <c r="F65" i="18"/>
  <c r="F61" i="18"/>
  <c r="F57" i="18"/>
  <c r="F53" i="18"/>
  <c r="F49" i="18"/>
  <c r="F45" i="18"/>
  <c r="F41" i="18"/>
  <c r="F37" i="18"/>
  <c r="F33" i="18"/>
  <c r="F29" i="18"/>
  <c r="F25" i="18"/>
  <c r="F21" i="18"/>
  <c r="F17" i="18"/>
  <c r="E112" i="18"/>
  <c r="E107" i="18"/>
  <c r="E102" i="18"/>
  <c r="E96" i="18"/>
  <c r="E91" i="18"/>
  <c r="E86" i="18"/>
  <c r="E80" i="18"/>
  <c r="E75" i="18"/>
  <c r="E70" i="18"/>
  <c r="E64" i="18"/>
  <c r="E59" i="18"/>
  <c r="E54" i="18"/>
  <c r="E48" i="18"/>
  <c r="E43" i="18"/>
  <c r="E38" i="18"/>
  <c r="E32" i="18"/>
  <c r="E27" i="18"/>
  <c r="E22" i="18"/>
  <c r="E16" i="18"/>
  <c r="E111" i="18"/>
  <c r="E106" i="18"/>
  <c r="E100" i="18"/>
  <c r="E95" i="18"/>
  <c r="E90" i="18"/>
  <c r="E84" i="18"/>
  <c r="E79" i="18"/>
  <c r="E74" i="18"/>
  <c r="E68" i="18"/>
  <c r="E63" i="18"/>
  <c r="E58" i="18"/>
  <c r="E52" i="18"/>
  <c r="E47" i="18"/>
  <c r="E42" i="18"/>
  <c r="E36" i="18"/>
  <c r="E31" i="18"/>
  <c r="E26" i="18"/>
  <c r="E20" i="18"/>
  <c r="E110" i="18"/>
  <c r="E104" i="18"/>
  <c r="E99" i="18"/>
  <c r="E94" i="18"/>
  <c r="E88" i="18"/>
  <c r="E83" i="18"/>
  <c r="E78" i="18"/>
  <c r="E72" i="18"/>
  <c r="E67" i="18"/>
  <c r="E62" i="18"/>
  <c r="E56" i="18"/>
  <c r="E51" i="18"/>
  <c r="E46" i="18"/>
  <c r="E40" i="18"/>
  <c r="E35" i="18"/>
  <c r="E30" i="18"/>
  <c r="E24" i="18"/>
  <c r="E19" i="18"/>
  <c r="E113" i="18"/>
  <c r="E109" i="18"/>
  <c r="E105" i="18"/>
  <c r="E101" i="18"/>
  <c r="E97" i="18"/>
  <c r="E93" i="18"/>
  <c r="E89" i="18"/>
  <c r="E85" i="18"/>
  <c r="E81" i="18"/>
  <c r="E77" i="18"/>
  <c r="E73" i="18"/>
  <c r="E69" i="18"/>
  <c r="E65" i="18"/>
  <c r="E61" i="18"/>
  <c r="E57" i="18"/>
  <c r="E53" i="18"/>
  <c r="E49" i="18"/>
  <c r="E45" i="18"/>
  <c r="E41" i="18"/>
  <c r="E37" i="18"/>
  <c r="E33" i="18"/>
  <c r="E29" i="18"/>
  <c r="E25" i="18"/>
  <c r="E21" i="18"/>
  <c r="E17" i="18"/>
  <c r="Q14" i="13"/>
  <c r="R14" i="13" s="1"/>
  <c r="Q15" i="13"/>
  <c r="R15" i="13" s="1"/>
  <c r="Q16" i="13"/>
  <c r="Q113" i="13"/>
  <c r="R113" i="13" l="1"/>
  <c r="S113" i="13" s="1"/>
  <c r="R16" i="13"/>
  <c r="S16" i="13" s="1"/>
  <c r="S14" i="13"/>
  <c r="S15" i="13"/>
  <c r="E14" i="18"/>
  <c r="E15" i="18"/>
  <c r="D15" i="18"/>
  <c r="F14" i="18"/>
  <c r="D111" i="18"/>
  <c r="G111" i="18" s="1"/>
  <c r="D107" i="18"/>
  <c r="G107" i="18" s="1"/>
  <c r="D103" i="18"/>
  <c r="G103" i="18" s="1"/>
  <c r="D99" i="18"/>
  <c r="G99" i="18" s="1"/>
  <c r="D95" i="18"/>
  <c r="G95" i="18" s="1"/>
  <c r="D91" i="18"/>
  <c r="G91" i="18" s="1"/>
  <c r="D87" i="18"/>
  <c r="G87" i="18" s="1"/>
  <c r="D83" i="18"/>
  <c r="G83" i="18" s="1"/>
  <c r="D79" i="18"/>
  <c r="G79" i="18" s="1"/>
  <c r="D75" i="18"/>
  <c r="G75" i="18" s="1"/>
  <c r="D71" i="18"/>
  <c r="G71" i="18" s="1"/>
  <c r="D67" i="18"/>
  <c r="G67" i="18" s="1"/>
  <c r="D63" i="18"/>
  <c r="G63" i="18" s="1"/>
  <c r="D59" i="18"/>
  <c r="G59" i="18" s="1"/>
  <c r="D55" i="18"/>
  <c r="G55" i="18" s="1"/>
  <c r="D51" i="18"/>
  <c r="G51" i="18" s="1"/>
  <c r="D47" i="18"/>
  <c r="G47" i="18" s="1"/>
  <c r="D43" i="18"/>
  <c r="G43" i="18" s="1"/>
  <c r="D39" i="18"/>
  <c r="G39" i="18" s="1"/>
  <c r="D35" i="18"/>
  <c r="G35" i="18" s="1"/>
  <c r="D31" i="18"/>
  <c r="G31" i="18" s="1"/>
  <c r="D27" i="18"/>
  <c r="G27" i="18" s="1"/>
  <c r="D23" i="18"/>
  <c r="G23" i="18" s="1"/>
  <c r="D19" i="18"/>
  <c r="G19" i="18" s="1"/>
  <c r="D110" i="18"/>
  <c r="G110" i="18" s="1"/>
  <c r="D106" i="18"/>
  <c r="G106" i="18" s="1"/>
  <c r="D102" i="18"/>
  <c r="G102" i="18" s="1"/>
  <c r="D98" i="18"/>
  <c r="G98" i="18" s="1"/>
  <c r="D94" i="18"/>
  <c r="G94" i="18" s="1"/>
  <c r="D90" i="18"/>
  <c r="G90" i="18" s="1"/>
  <c r="D86" i="18"/>
  <c r="G86" i="18" s="1"/>
  <c r="D82" i="18"/>
  <c r="G82" i="18" s="1"/>
  <c r="D78" i="18"/>
  <c r="G78" i="18" s="1"/>
  <c r="D74" i="18"/>
  <c r="G74" i="18" s="1"/>
  <c r="D70" i="18"/>
  <c r="G70" i="18" s="1"/>
  <c r="D66" i="18"/>
  <c r="G66" i="18" s="1"/>
  <c r="D62" i="18"/>
  <c r="G62" i="18" s="1"/>
  <c r="D58" i="18"/>
  <c r="G58" i="18" s="1"/>
  <c r="D54" i="18"/>
  <c r="G54" i="18" s="1"/>
  <c r="D50" i="18"/>
  <c r="G50" i="18" s="1"/>
  <c r="D46" i="18"/>
  <c r="G46" i="18" s="1"/>
  <c r="D42" i="18"/>
  <c r="G42" i="18" s="1"/>
  <c r="D38" i="18"/>
  <c r="G38" i="18" s="1"/>
  <c r="D34" i="18"/>
  <c r="G34" i="18" s="1"/>
  <c r="D30" i="18"/>
  <c r="G30" i="18" s="1"/>
  <c r="D26" i="18"/>
  <c r="G26" i="18" s="1"/>
  <c r="D22" i="18"/>
  <c r="G22" i="18" s="1"/>
  <c r="D18" i="18"/>
  <c r="G18" i="18" s="1"/>
  <c r="D113" i="18"/>
  <c r="G113" i="18" s="1"/>
  <c r="D109" i="18"/>
  <c r="G109" i="18" s="1"/>
  <c r="D105" i="18"/>
  <c r="G105" i="18" s="1"/>
  <c r="D101" i="18"/>
  <c r="G101" i="18" s="1"/>
  <c r="D97" i="18"/>
  <c r="G97" i="18" s="1"/>
  <c r="D93" i="18"/>
  <c r="G93" i="18" s="1"/>
  <c r="D89" i="18"/>
  <c r="G89" i="18" s="1"/>
  <c r="D85" i="18"/>
  <c r="G85" i="18" s="1"/>
  <c r="D81" i="18"/>
  <c r="G81" i="18" s="1"/>
  <c r="D77" i="18"/>
  <c r="G77" i="18" s="1"/>
  <c r="D73" i="18"/>
  <c r="G73" i="18" s="1"/>
  <c r="D69" i="18"/>
  <c r="G69" i="18" s="1"/>
  <c r="D65" i="18"/>
  <c r="G65" i="18" s="1"/>
  <c r="D61" i="18"/>
  <c r="G61" i="18" s="1"/>
  <c r="D57" i="18"/>
  <c r="G57" i="18" s="1"/>
  <c r="D53" i="18"/>
  <c r="G53" i="18" s="1"/>
  <c r="D49" i="18"/>
  <c r="G49" i="18" s="1"/>
  <c r="D45" i="18"/>
  <c r="G45" i="18" s="1"/>
  <c r="D41" i="18"/>
  <c r="G41" i="18" s="1"/>
  <c r="D37" i="18"/>
  <c r="G37" i="18" s="1"/>
  <c r="D33" i="18"/>
  <c r="G33" i="18" s="1"/>
  <c r="D29" i="18"/>
  <c r="G29" i="18" s="1"/>
  <c r="D25" i="18"/>
  <c r="G25" i="18" s="1"/>
  <c r="D21" i="18"/>
  <c r="G21" i="18" s="1"/>
  <c r="D17" i="18"/>
  <c r="G17" i="18" s="1"/>
  <c r="D112" i="18"/>
  <c r="G112" i="18" s="1"/>
  <c r="D108" i="18"/>
  <c r="G108" i="18" s="1"/>
  <c r="D104" i="18"/>
  <c r="G104" i="18" s="1"/>
  <c r="D100" i="18"/>
  <c r="G100" i="18" s="1"/>
  <c r="D96" i="18"/>
  <c r="G96" i="18" s="1"/>
  <c r="D92" i="18"/>
  <c r="G92" i="18" s="1"/>
  <c r="D88" i="18"/>
  <c r="G88" i="18" s="1"/>
  <c r="D84" i="18"/>
  <c r="G84" i="18" s="1"/>
  <c r="D80" i="18"/>
  <c r="G80" i="18" s="1"/>
  <c r="D76" i="18"/>
  <c r="G76" i="18" s="1"/>
  <c r="D72" i="18"/>
  <c r="G72" i="18" s="1"/>
  <c r="D68" i="18"/>
  <c r="G68" i="18" s="1"/>
  <c r="D64" i="18"/>
  <c r="G64" i="18" s="1"/>
  <c r="D60" i="18"/>
  <c r="G60" i="18" s="1"/>
  <c r="D56" i="18"/>
  <c r="G56" i="18" s="1"/>
  <c r="D52" i="18"/>
  <c r="G52" i="18" s="1"/>
  <c r="D48" i="18"/>
  <c r="G48" i="18" s="1"/>
  <c r="D44" i="18"/>
  <c r="G44" i="18" s="1"/>
  <c r="D40" i="18"/>
  <c r="G40" i="18" s="1"/>
  <c r="D36" i="18"/>
  <c r="G36" i="18" s="1"/>
  <c r="D32" i="18"/>
  <c r="G32" i="18" s="1"/>
  <c r="D28" i="18"/>
  <c r="G28" i="18" s="1"/>
  <c r="D24" i="18"/>
  <c r="G24" i="18" s="1"/>
  <c r="D20" i="18"/>
  <c r="G20" i="18" s="1"/>
  <c r="D16" i="18"/>
  <c r="G16" i="18" s="1"/>
  <c r="H76" i="18" l="1"/>
  <c r="I76" i="18" s="1"/>
  <c r="J76" i="18" s="1"/>
  <c r="H89" i="18"/>
  <c r="I89" i="18" s="1"/>
  <c r="J89" i="18" s="1"/>
  <c r="H70" i="18"/>
  <c r="I70" i="18" s="1"/>
  <c r="J70" i="18" s="1"/>
  <c r="H86" i="18"/>
  <c r="I86" i="18" s="1"/>
  <c r="J86" i="18" s="1"/>
  <c r="H102" i="18"/>
  <c r="I102" i="18" s="1"/>
  <c r="J102" i="18" s="1"/>
  <c r="H71" i="18"/>
  <c r="I71" i="18" s="1"/>
  <c r="J71" i="18" s="1"/>
  <c r="H87" i="18"/>
  <c r="I87" i="18" s="1"/>
  <c r="J87" i="18" s="1"/>
  <c r="H103" i="18"/>
  <c r="I103" i="18" s="1"/>
  <c r="J103" i="18" s="1"/>
  <c r="H64" i="18"/>
  <c r="I64" i="18" s="1"/>
  <c r="J64" i="18" s="1"/>
  <c r="H74" i="18"/>
  <c r="I74" i="18" s="1"/>
  <c r="J74" i="18" s="1"/>
  <c r="H107" i="18"/>
  <c r="I107" i="18" s="1"/>
  <c r="J107" i="18" s="1"/>
  <c r="H92" i="18"/>
  <c r="I92" i="18" s="1"/>
  <c r="J92" i="18" s="1"/>
  <c r="H105" i="18"/>
  <c r="I105" i="18" s="1"/>
  <c r="J105" i="18" s="1"/>
  <c r="H80" i="18"/>
  <c r="I80" i="18" s="1"/>
  <c r="J80" i="18" s="1"/>
  <c r="H112" i="18"/>
  <c r="I112" i="18" s="1"/>
  <c r="J112" i="18" s="1"/>
  <c r="H93" i="18"/>
  <c r="I93" i="18" s="1"/>
  <c r="J93" i="18" s="1"/>
  <c r="H106" i="18"/>
  <c r="I106" i="18" s="1"/>
  <c r="J106" i="18" s="1"/>
  <c r="H75" i="18"/>
  <c r="I75" i="18" s="1"/>
  <c r="J75" i="18" s="1"/>
  <c r="H68" i="18"/>
  <c r="I68" i="18" s="1"/>
  <c r="J68" i="18" s="1"/>
  <c r="H84" i="18"/>
  <c r="I84" i="18" s="1"/>
  <c r="J84" i="18" s="1"/>
  <c r="H100" i="18"/>
  <c r="I100" i="18" s="1"/>
  <c r="J100" i="18" s="1"/>
  <c r="H65" i="18"/>
  <c r="I65" i="18" s="1"/>
  <c r="J65" i="18" s="1"/>
  <c r="H81" i="18"/>
  <c r="I81" i="18" s="1"/>
  <c r="J81" i="18" s="1"/>
  <c r="H97" i="18"/>
  <c r="I97" i="18" s="1"/>
  <c r="J97" i="18" s="1"/>
  <c r="H113" i="18"/>
  <c r="I113" i="18" s="1"/>
  <c r="J113" i="18" s="1"/>
  <c r="H78" i="18"/>
  <c r="I78" i="18" s="1"/>
  <c r="J78" i="18" s="1"/>
  <c r="H94" i="18"/>
  <c r="I94" i="18" s="1"/>
  <c r="J94" i="18" s="1"/>
  <c r="H110" i="18"/>
  <c r="I110" i="18" s="1"/>
  <c r="J110" i="18" s="1"/>
  <c r="H63" i="18"/>
  <c r="I63" i="18" s="1"/>
  <c r="J63" i="18" s="1"/>
  <c r="H79" i="18"/>
  <c r="I79" i="18" s="1"/>
  <c r="J79" i="18" s="1"/>
  <c r="H95" i="18"/>
  <c r="I95" i="18" s="1"/>
  <c r="J95" i="18" s="1"/>
  <c r="H111" i="18"/>
  <c r="I111" i="18" s="1"/>
  <c r="J111" i="18" s="1"/>
  <c r="H108" i="18"/>
  <c r="I108" i="18" s="1"/>
  <c r="J108" i="18" s="1"/>
  <c r="H73" i="18"/>
  <c r="I73" i="18" s="1"/>
  <c r="J73" i="18" s="1"/>
  <c r="H96" i="18"/>
  <c r="I96" i="18" s="1"/>
  <c r="J96" i="18" s="1"/>
  <c r="H77" i="18"/>
  <c r="I77" i="18" s="1"/>
  <c r="J77" i="18" s="1"/>
  <c r="H109" i="18"/>
  <c r="I109" i="18" s="1"/>
  <c r="J109" i="18" s="1"/>
  <c r="H90" i="18"/>
  <c r="I90" i="18" s="1"/>
  <c r="J90" i="18" s="1"/>
  <c r="H91" i="18"/>
  <c r="I91" i="18" s="1"/>
  <c r="J91" i="18" s="1"/>
  <c r="H72" i="18"/>
  <c r="I72" i="18" s="1"/>
  <c r="J72" i="18" s="1"/>
  <c r="H88" i="18"/>
  <c r="I88" i="18" s="1"/>
  <c r="J88" i="18" s="1"/>
  <c r="H104" i="18"/>
  <c r="I104" i="18" s="1"/>
  <c r="J104" i="18" s="1"/>
  <c r="H69" i="18"/>
  <c r="I69" i="18" s="1"/>
  <c r="J69" i="18" s="1"/>
  <c r="H85" i="18"/>
  <c r="I85" i="18" s="1"/>
  <c r="J85" i="18" s="1"/>
  <c r="H101" i="18"/>
  <c r="I101" i="18" s="1"/>
  <c r="J101" i="18" s="1"/>
  <c r="H66" i="18"/>
  <c r="I66" i="18" s="1"/>
  <c r="J66" i="18" s="1"/>
  <c r="H82" i="18"/>
  <c r="I82" i="18" s="1"/>
  <c r="J82" i="18" s="1"/>
  <c r="H98" i="18"/>
  <c r="I98" i="18" s="1"/>
  <c r="J98" i="18" s="1"/>
  <c r="H67" i="18"/>
  <c r="I67" i="18" s="1"/>
  <c r="J67" i="18" s="1"/>
  <c r="H83" i="18"/>
  <c r="I83" i="18" s="1"/>
  <c r="J83" i="18" s="1"/>
  <c r="H99" i="18"/>
  <c r="I99" i="18" s="1"/>
  <c r="J99" i="18" s="1"/>
  <c r="H62" i="18"/>
  <c r="I62" i="18" s="1"/>
  <c r="J62" i="18" s="1"/>
  <c r="H61" i="18"/>
  <c r="I61" i="18" s="1"/>
  <c r="J61" i="18" s="1"/>
  <c r="H60" i="18"/>
  <c r="I60" i="18" s="1"/>
  <c r="J60" i="18" s="1"/>
  <c r="H59" i="18"/>
  <c r="I59" i="18" s="1"/>
  <c r="J59" i="18" s="1"/>
  <c r="H52" i="18"/>
  <c r="I52" i="18" s="1"/>
  <c r="J52" i="18" s="1"/>
  <c r="H49" i="18"/>
  <c r="I49" i="18" s="1"/>
  <c r="J49" i="18" s="1"/>
  <c r="H46" i="18"/>
  <c r="I46" i="18" s="1"/>
  <c r="J46" i="18" s="1"/>
  <c r="H47" i="18"/>
  <c r="I47" i="18" s="1"/>
  <c r="J47" i="18" s="1"/>
  <c r="H40" i="18"/>
  <c r="I40" i="18" s="1"/>
  <c r="J40" i="18" s="1"/>
  <c r="H56" i="18"/>
  <c r="I56" i="18" s="1"/>
  <c r="J56" i="18" s="1"/>
  <c r="H53" i="18"/>
  <c r="I53" i="18" s="1"/>
  <c r="J53" i="18" s="1"/>
  <c r="H50" i="18"/>
  <c r="I50" i="18" s="1"/>
  <c r="J50" i="18" s="1"/>
  <c r="H51" i="18"/>
  <c r="I51" i="18" s="1"/>
  <c r="J51" i="18" s="1"/>
  <c r="H44" i="18"/>
  <c r="I44" i="18" s="1"/>
  <c r="J44" i="18" s="1"/>
  <c r="H41" i="18"/>
  <c r="I41" i="18" s="1"/>
  <c r="J41" i="18" s="1"/>
  <c r="H57" i="18"/>
  <c r="I57" i="18" s="1"/>
  <c r="J57" i="18" s="1"/>
  <c r="H54" i="18"/>
  <c r="I54" i="18" s="1"/>
  <c r="J54" i="18" s="1"/>
  <c r="H39" i="18"/>
  <c r="I39" i="18" s="1"/>
  <c r="J39" i="18" s="1"/>
  <c r="H55" i="18"/>
  <c r="I55" i="18" s="1"/>
  <c r="J55" i="18" s="1"/>
  <c r="H48" i="18"/>
  <c r="I48" i="18" s="1"/>
  <c r="J48" i="18" s="1"/>
  <c r="H45" i="18"/>
  <c r="I45" i="18" s="1"/>
  <c r="J45" i="18" s="1"/>
  <c r="H42" i="18"/>
  <c r="I42" i="18" s="1"/>
  <c r="J42" i="18" s="1"/>
  <c r="H58" i="18"/>
  <c r="I58" i="18" s="1"/>
  <c r="J58" i="18" s="1"/>
  <c r="H43" i="18"/>
  <c r="I43" i="18" s="1"/>
  <c r="J43" i="18" s="1"/>
  <c r="H36" i="18"/>
  <c r="I36" i="18" s="1"/>
  <c r="J36" i="18" s="1"/>
  <c r="H37" i="18"/>
  <c r="I37" i="18" s="1"/>
  <c r="J37" i="18" s="1"/>
  <c r="H38" i="18"/>
  <c r="I38" i="18" s="1"/>
  <c r="J38" i="18" s="1"/>
  <c r="H35" i="18"/>
  <c r="I35" i="18" s="1"/>
  <c r="J35" i="18" s="1"/>
  <c r="H34" i="18"/>
  <c r="I34" i="18" s="1"/>
  <c r="J34" i="18" s="1"/>
  <c r="H33" i="18"/>
  <c r="I33" i="18" s="1"/>
  <c r="J33" i="18" s="1"/>
  <c r="H32" i="18"/>
  <c r="I32" i="18" s="1"/>
  <c r="J32" i="18" s="1"/>
  <c r="H29" i="18"/>
  <c r="I29" i="18" s="1"/>
  <c r="J29" i="18" s="1"/>
  <c r="H30" i="18"/>
  <c r="I30" i="18" s="1"/>
  <c r="J30" i="18" s="1"/>
  <c r="H31" i="18"/>
  <c r="I31" i="18" s="1"/>
  <c r="J31" i="18" s="1"/>
  <c r="H28" i="18"/>
  <c r="I28" i="18" s="1"/>
  <c r="J28" i="18" s="1"/>
  <c r="H25" i="18"/>
  <c r="I25" i="18" s="1"/>
  <c r="J25" i="18" s="1"/>
  <c r="H26" i="18"/>
  <c r="I26" i="18" s="1"/>
  <c r="J26" i="18" s="1"/>
  <c r="H27" i="18"/>
  <c r="I27" i="18" s="1"/>
  <c r="J27" i="18" s="1"/>
  <c r="H24" i="18"/>
  <c r="I24" i="18" s="1"/>
  <c r="J24" i="18" s="1"/>
  <c r="H23" i="18"/>
  <c r="I23" i="18" s="1"/>
  <c r="J23" i="18" s="1"/>
  <c r="H22" i="18"/>
  <c r="I22" i="18" s="1"/>
  <c r="J22" i="18" s="1"/>
  <c r="H21" i="18"/>
  <c r="I21" i="18" s="1"/>
  <c r="J21" i="18" s="1"/>
  <c r="H20" i="18"/>
  <c r="I20" i="18" s="1"/>
  <c r="J20" i="18" s="1"/>
  <c r="H19" i="18"/>
  <c r="I19" i="18" s="1"/>
  <c r="J19" i="18" s="1"/>
  <c r="H18" i="18"/>
  <c r="I18" i="18" s="1"/>
  <c r="J18" i="18" s="1"/>
  <c r="H17" i="18"/>
  <c r="I17" i="18" s="1"/>
  <c r="J17" i="18" s="1"/>
  <c r="H16" i="18"/>
  <c r="I16" i="18" s="1"/>
  <c r="J16" i="18" s="1"/>
  <c r="G15" i="18"/>
  <c r="D14" i="18"/>
  <c r="H15" i="18" l="1"/>
  <c r="I15" i="18" s="1"/>
  <c r="J15" i="18" s="1"/>
  <c r="G14" i="18"/>
  <c r="H14" i="18" s="1"/>
  <c r="K8" i="1"/>
  <c r="L8" i="1" s="1"/>
  <c r="K7" i="1"/>
  <c r="L7" i="1" s="1"/>
  <c r="K6" i="1"/>
  <c r="L6" i="1" s="1"/>
  <c r="I14" i="18" l="1"/>
  <c r="J14" i="18" s="1"/>
  <c r="K9" i="1"/>
  <c r="A28" i="1"/>
  <c r="A26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sharedStrings.xml><?xml version="1.0" encoding="utf-8"?>
<sst xmlns="http://schemas.openxmlformats.org/spreadsheetml/2006/main" count="687" uniqueCount="190">
  <si>
    <t>COURSE INFORMATION</t>
  </si>
  <si>
    <t>SEMESTER:</t>
  </si>
  <si>
    <t>STUDENT LIST</t>
  </si>
  <si>
    <t>NO.</t>
  </si>
  <si>
    <t>STUDENT NUMBER</t>
  </si>
  <si>
    <t>STUDENT NAME</t>
  </si>
  <si>
    <t>CLASS RECORD - COURSE DETAILS</t>
  </si>
  <si>
    <t>SCHEDULE</t>
  </si>
  <si>
    <t>LECTURE</t>
  </si>
  <si>
    <t>REMARKS</t>
  </si>
  <si>
    <t>CLASS STANDING</t>
  </si>
  <si>
    <t>TOTAL</t>
  </si>
  <si>
    <t>CHARACTER</t>
  </si>
  <si>
    <t>LECTURE GRADING SYSTEM</t>
  </si>
  <si>
    <t>PRELIM</t>
  </si>
  <si>
    <t>MIDTERM</t>
  </si>
  <si>
    <t>FINAL</t>
  </si>
  <si>
    <t>EXAMS</t>
  </si>
  <si>
    <t>INC</t>
  </si>
  <si>
    <t>DRP</t>
  </si>
  <si>
    <t>EQUIVALENT</t>
  </si>
  <si>
    <t>FINAL GRADE</t>
  </si>
  <si>
    <t>CLASS RECORD</t>
  </si>
  <si>
    <t>PRELIMINARY PERIOD</t>
  </si>
  <si>
    <t>WORLD CITI COLLEGES</t>
  </si>
  <si>
    <t>MIDTERM PERIOD</t>
  </si>
  <si>
    <t>FINAL PERIOD</t>
  </si>
  <si>
    <t>SN</t>
  </si>
  <si>
    <t>STUDENT ID</t>
  </si>
  <si>
    <t>College of Business Administration</t>
  </si>
  <si>
    <t>College of Criminology</t>
  </si>
  <si>
    <t>College of Information Technology</t>
  </si>
  <si>
    <t>PROGRAM HEAD</t>
  </si>
  <si>
    <t>DEAN</t>
  </si>
  <si>
    <t>AVP FOR ACADEMIC AFFAIRS</t>
  </si>
  <si>
    <t>ACADEMIC HEAD</t>
  </si>
  <si>
    <t>INSTRUCTOR</t>
  </si>
  <si>
    <t>ACADEMIC PROGRAM</t>
  </si>
  <si>
    <t>COURSE DESCRIPTION</t>
  </si>
  <si>
    <t>COURSE CODE</t>
  </si>
  <si>
    <t>DEPARTMENT</t>
  </si>
  <si>
    <t>SEMESTER</t>
  </si>
  <si>
    <t>SCHOOL YEAR</t>
  </si>
  <si>
    <t>DAY</t>
  </si>
  <si>
    <t>ROOM</t>
  </si>
  <si>
    <t>TIME</t>
  </si>
  <si>
    <t>UNIT</t>
  </si>
  <si>
    <t>CAMPUS</t>
  </si>
  <si>
    <t>Failure Due to Absenses</t>
  </si>
  <si>
    <t>Incomplete</t>
  </si>
  <si>
    <t xml:space="preserve">STUDENT FINAL MARKING </t>
  </si>
  <si>
    <t>STUDENT MARKING</t>
  </si>
  <si>
    <t>SYSTEM</t>
  </si>
  <si>
    <t>College of Psychology</t>
  </si>
  <si>
    <t>College of Arts and Sciences</t>
  </si>
  <si>
    <t>College of Nursing</t>
  </si>
  <si>
    <t>School of International Hospitality Management</t>
  </si>
  <si>
    <t>College of Medical Technology</t>
  </si>
  <si>
    <t>College of Physical Therapy</t>
  </si>
  <si>
    <t>College of Pharmacy</t>
  </si>
  <si>
    <t>College of Radiologic Technology</t>
  </si>
  <si>
    <t>Graduate School</t>
  </si>
  <si>
    <t>College of Accountancy</t>
  </si>
  <si>
    <t>College of Communication and Arts</t>
  </si>
  <si>
    <t>CAMPUS MANAGER</t>
  </si>
  <si>
    <t xml:space="preserve"> </t>
  </si>
  <si>
    <t>Bachelor of Science in Psychology</t>
  </si>
  <si>
    <t>Bachelor of Science in Nursing</t>
  </si>
  <si>
    <t>Bachelor of Science in Tourism Management</t>
  </si>
  <si>
    <t>Bachelor of Science in Hospitality Management</t>
  </si>
  <si>
    <t>Bachelor of Science in Medical Laboratory Science</t>
  </si>
  <si>
    <t>Bachelor of Science in Nutrition and Dietetics</t>
  </si>
  <si>
    <t>Bachelor of Science in Information Technology</t>
  </si>
  <si>
    <t>Bachelor of Science in Physical Therapy</t>
  </si>
  <si>
    <t>Bachelor of Science in Business Administration</t>
  </si>
  <si>
    <t>Bachelor of Science in Pharmacy</t>
  </si>
  <si>
    <t>Bachelor of Science in Radiologic Technology</t>
  </si>
  <si>
    <t>Master in Business Adminitration</t>
  </si>
  <si>
    <t>Master in Public Administration</t>
  </si>
  <si>
    <t>Master in Education</t>
  </si>
  <si>
    <t xml:space="preserve">Bachelor of Science in Accountanty </t>
  </si>
  <si>
    <t>Bachelor of Science in Criminology</t>
  </si>
  <si>
    <t xml:space="preserve">Bachelor  of Arts in Communication </t>
  </si>
  <si>
    <t>IP</t>
  </si>
  <si>
    <t>In Progress</t>
  </si>
  <si>
    <t>Quiz 1</t>
  </si>
  <si>
    <t>Quiz 2</t>
  </si>
  <si>
    <t>Quiz 3</t>
  </si>
  <si>
    <t>Quiz 4</t>
  </si>
  <si>
    <t>Quiz 5</t>
  </si>
  <si>
    <t>YEAR LEVEL &amp; SECTION</t>
  </si>
  <si>
    <t>QUIZZES</t>
  </si>
  <si>
    <t>AVERAGE</t>
  </si>
  <si>
    <t>RECITATION (REC)</t>
  </si>
  <si>
    <t>ORAL REPORT (OR)</t>
  </si>
  <si>
    <t>ASSIGNMENT (ASS)</t>
  </si>
  <si>
    <t>ACADEMIC PAPER (AP)</t>
  </si>
  <si>
    <t>SEAT WORK (SW)</t>
  </si>
  <si>
    <t>PERFORMANCE TASK (PT)</t>
  </si>
  <si>
    <t>MAJOR EXAM</t>
  </si>
  <si>
    <t>Failed</t>
  </si>
  <si>
    <t>Passed</t>
  </si>
  <si>
    <t>Dropped</t>
  </si>
  <si>
    <t>Intsructor:</t>
  </si>
  <si>
    <t>Department:</t>
  </si>
  <si>
    <t>Course Code:</t>
  </si>
  <si>
    <t>Course Description:</t>
  </si>
  <si>
    <t>Day:</t>
  </si>
  <si>
    <t>Time:</t>
  </si>
  <si>
    <t>Room:</t>
  </si>
  <si>
    <t>Semester:</t>
  </si>
  <si>
    <t>Unit:</t>
  </si>
  <si>
    <t>Year &amp; Sec:</t>
  </si>
  <si>
    <t>PRELIM PERIOD</t>
  </si>
  <si>
    <t>GRADING SHEET</t>
  </si>
  <si>
    <t>ACADEMIC YEAR</t>
  </si>
  <si>
    <t>Yr. &amp; Sec.:</t>
  </si>
  <si>
    <t>SUBJECT TYPE:</t>
  </si>
  <si>
    <t>Subject Type:</t>
  </si>
  <si>
    <t>World Citi Colleges</t>
  </si>
  <si>
    <t>Antipolo City</t>
  </si>
  <si>
    <t>P</t>
  </si>
  <si>
    <t>A</t>
  </si>
  <si>
    <t>23-QC04262</t>
  </si>
  <si>
    <t>DE GUZMAN, JONATHAN EARL COPRADO</t>
  </si>
  <si>
    <t>L</t>
  </si>
  <si>
    <t>23-QC04797</t>
  </si>
  <si>
    <t>ABOL, ROLAND CARL SANTIAGO</t>
  </si>
  <si>
    <t>23-QC05073</t>
  </si>
  <si>
    <t>AGUINALDO, ANGELO NIKHAIL SAN DIEGO</t>
  </si>
  <si>
    <t>23-QC03798</t>
  </si>
  <si>
    <t>BULUSAN, MA. CHRISTINA AVIEGAIL CABARUAN</t>
  </si>
  <si>
    <t>23-QC03776</t>
  </si>
  <si>
    <t>CAASI, SHAWN DHELRIC</t>
  </si>
  <si>
    <t>23-QC04290</t>
  </si>
  <si>
    <t>CATAAG, MARK LEONY BALUBAR</t>
  </si>
  <si>
    <t>23-QC03565</t>
  </si>
  <si>
    <t>CUNANAN, JASMINE MAE TIPRADO</t>
  </si>
  <si>
    <t>23-QC04656</t>
  </si>
  <si>
    <t>DE GUZMAN, ESPRIT DATUL</t>
  </si>
  <si>
    <t>23-QC02958</t>
  </si>
  <si>
    <t>DE VEGA, DENBER REYES</t>
  </si>
  <si>
    <t>23-QC02881</t>
  </si>
  <si>
    <t>ESPIRITU, VHYNCE ARNOLD AZUL</t>
  </si>
  <si>
    <t>23-QC02960</t>
  </si>
  <si>
    <t>GADIER, JOHN ENRICK ROBERTO</t>
  </si>
  <si>
    <t>23-QC04082</t>
  </si>
  <si>
    <t>GROSPE, KC SALGADO</t>
  </si>
  <si>
    <t>23-QC04267</t>
  </si>
  <si>
    <t>IGNACIO, RENIEL ELIZALDE RAMOS</t>
  </si>
  <si>
    <t>23-QC04131</t>
  </si>
  <si>
    <t>KIM, TSUYOSHI C</t>
  </si>
  <si>
    <t>23-QC03556</t>
  </si>
  <si>
    <t>LACEDA, JANN EIRRON PATACSIL</t>
  </si>
  <si>
    <t>23-QC03532</t>
  </si>
  <si>
    <t>LEGASPI, JOSHUA MONATO</t>
  </si>
  <si>
    <t>23-QC03140</t>
  </si>
  <si>
    <t>LIM, DOMINIC MARTIN COSCULLA</t>
  </si>
  <si>
    <t>23-QC03808</t>
  </si>
  <si>
    <t>LUPAZ, TEDDY BOY LOZANO</t>
  </si>
  <si>
    <t>22-QC01720</t>
  </si>
  <si>
    <t>MALICSI, RALPH MESONGCO</t>
  </si>
  <si>
    <t>23-QC04505</t>
  </si>
  <si>
    <t>MATIC, ROIZ FRANCIS JAMAHALI</t>
  </si>
  <si>
    <t>23-QC04146</t>
  </si>
  <si>
    <t>PAGUILA, CALEB LAMUEL SANGALANG</t>
  </si>
  <si>
    <t>23-QC03088</t>
  </si>
  <si>
    <t>PUZON, JOZIAH AZRIEL NIETES</t>
  </si>
  <si>
    <t>23-QC04663</t>
  </si>
  <si>
    <t>REBOQUIO, MARC DANIEL YU</t>
  </si>
  <si>
    <t>24-QC14846</t>
  </si>
  <si>
    <t>ROA, MONIQUE GARCES</t>
  </si>
  <si>
    <t>23-QC03931</t>
  </si>
  <si>
    <t>SANCHEZ, GODWIN BAUTISTA</t>
  </si>
  <si>
    <t>23-QC03869</t>
  </si>
  <si>
    <t>SANCHEZ, ZANDER CEDRIC</t>
  </si>
  <si>
    <t>23-QC04693</t>
  </si>
  <si>
    <t>SANTOS, CASEY ANN NONOSO</t>
  </si>
  <si>
    <t>23-QC04799</t>
  </si>
  <si>
    <t>SILVA, COLE KENNETH BARONA</t>
  </si>
  <si>
    <t>24-QC13520</t>
  </si>
  <si>
    <t>TAN, CHRISJAN GABRIEL SAGARIO</t>
  </si>
  <si>
    <t>23-QC03657</t>
  </si>
  <si>
    <t>TEMPORAL, O’NIELEXUS FLORES</t>
  </si>
  <si>
    <t>23-QC04979</t>
  </si>
  <si>
    <t>TULA, MALIC ANGCAS</t>
  </si>
  <si>
    <t>23-QC04448</t>
  </si>
  <si>
    <t>VALDEZ, MA. DANNIELLE LOUIESSE</t>
  </si>
  <si>
    <t>hernandez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</si>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</sst>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sz val="11"/>
      <color theme="0"/>
      <name val="Century Gothic"/>
      <family val="1"/>
    </font>
    <font>
      <b/>
      <i/>
      <sz val="16"/>
      <color theme="1"/>
      <name val="Century Gothic"/>
      <family val="1"/>
    </font>
    <font>
      <b/>
      <sz val="12"/>
      <color theme="0"/>
      <name val="Century Gothic"/>
      <family val="1"/>
    </font>
    <font>
      <b/>
      <i/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i/>
      <sz val="14"/>
      <color theme="1"/>
      <name val="Century Gothic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8"/>
      <color theme="1"/>
      <name val="Century Gothic"/>
      <family val="2"/>
    </font>
    <font>
      <b/>
      <sz val="9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i/>
      <sz val="9"/>
      <color theme="1"/>
      <name val="Century Gothic"/>
      <family val="2"/>
    </font>
    <font>
      <sz val="8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rgb="FF000000"/>
      <name val="Calibri"/>
    </font>
    <font>
      <sz val="13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/>
  </cellStyleXfs>
  <cellXfs count="95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0" xfId="0" applyNumberFormat="1" applyFont="1"/>
    <xf numFmtId="2" fontId="5" fillId="0" borderId="0" xfId="0" applyNumberFormat="1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2" xfId="0" applyFont="1" applyBorder="1"/>
    <xf numFmtId="9" fontId="5" fillId="0" borderId="0" xfId="0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8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/>
    <xf numFmtId="9" fontId="3" fillId="0" borderId="0" xfId="0" applyNumberFormat="1" applyFo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3" borderId="1" xfId="0" applyFill="1" applyBorder="1"/>
    <xf numFmtId="0" fontId="3" fillId="3" borderId="1" xfId="0" applyFont="1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8" borderId="0" xfId="0" applyFont="1" applyFill="1" applyAlignment="1">
      <alignment horizontal="right"/>
    </xf>
    <xf numFmtId="0" fontId="3" fillId="0" borderId="1" xfId="0" applyFont="1" applyBorder="1"/>
    <xf numFmtId="0" fontId="22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14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right"/>
      <protection hidden="1"/>
    </xf>
    <xf numFmtId="0" fontId="14" fillId="5" borderId="1" xfId="0" applyFont="1" applyFill="1" applyBorder="1" applyAlignment="1" applyProtection="1">
      <alignment horizontal="center" vertical="center" textRotation="90"/>
      <protection hidden="1"/>
    </xf>
    <xf numFmtId="0" fontId="15" fillId="5" borderId="1" xfId="0" applyFont="1" applyFill="1" applyBorder="1" applyAlignment="1" applyProtection="1">
      <alignment vertical="center" textRotation="90"/>
      <protection locked="0" hidden="1"/>
    </xf>
    <xf numFmtId="0" fontId="15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left"/>
      <protection hidden="1"/>
    </xf>
    <xf numFmtId="0" fontId="15" fillId="0" borderId="1" xfId="0" applyFont="1" applyBorder="1" applyAlignment="1" applyProtection="1">
      <alignment horizontal="center"/>
      <protection locked="0" hidden="1"/>
    </xf>
    <xf numFmtId="1" fontId="19" fillId="2" borderId="1" xfId="0" applyNumberFormat="1" applyFont="1" applyFill="1" applyBorder="1" applyAlignment="1" applyProtection="1">
      <alignment horizontal="center"/>
      <protection hidden="1"/>
    </xf>
    <xf numFmtId="2" fontId="19" fillId="4" borderId="1" xfId="0" applyNumberFormat="1" applyFont="1" applyFill="1" applyBorder="1" applyAlignment="1" applyProtection="1">
      <alignment horizontal="center"/>
      <protection hidden="1"/>
    </xf>
    <xf numFmtId="0" fontId="23" fillId="0" borderId="0" xfId="0" applyFont="1" applyAlignment="1" applyProtection="1">
      <alignment horizontal="left"/>
      <protection hidden="1"/>
    </xf>
    <xf numFmtId="0" fontId="24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left"/>
      <protection hidden="1"/>
    </xf>
    <xf numFmtId="0" fontId="13" fillId="5" borderId="1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 applyProtection="1">
      <alignment horizontal="center" vertical="center" textRotation="90"/>
      <protection hidden="1"/>
    </xf>
    <xf numFmtId="0" fontId="13" fillId="7" borderId="1" xfId="0" applyFont="1" applyFill="1" applyBorder="1" applyAlignment="1" applyProtection="1">
      <alignment horizontal="center" vertical="center" textRotation="90"/>
      <protection hidden="1"/>
    </xf>
    <xf numFmtId="0" fontId="15" fillId="0" borderId="1" xfId="0" applyFont="1" applyBorder="1" applyAlignment="1" applyProtection="1">
      <alignment horizontal="left"/>
      <protection hidden="1"/>
    </xf>
    <xf numFmtId="2" fontId="15" fillId="0" borderId="1" xfId="0" applyNumberFormat="1" applyFont="1" applyBorder="1" applyAlignment="1" applyProtection="1">
      <alignment horizontal="center"/>
      <protection hidden="1"/>
    </xf>
    <xf numFmtId="2" fontId="19" fillId="7" borderId="1" xfId="0" applyNumberFormat="1" applyFont="1" applyFill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2" fontId="14" fillId="0" borderId="0" xfId="0" applyNumberFormat="1" applyFont="1" applyProtection="1">
      <protection hidden="1"/>
    </xf>
    <xf numFmtId="2" fontId="15" fillId="0" borderId="0" xfId="0" applyNumberFormat="1" applyFont="1" applyProtection="1">
      <protection hidden="1"/>
    </xf>
    <xf numFmtId="2" fontId="0" fillId="0" borderId="0" xfId="0" applyNumberFormat="1"/>
    <xf numFmtId="0" fontId="14" fillId="0" borderId="0" xfId="0" applyFont="1" applyProtection="1">
      <protection locked="0" hidden="1"/>
    </xf>
    <xf numFmtId="0" fontId="27" fillId="0" borderId="0" xfId="2" applyFont="1" applyAlignment="1">
      <alignment horizontal="left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2" fillId="4" borderId="1" xfId="0" applyNumberFormat="1" applyFont="1" applyFill="1" applyBorder="1" applyAlignment="1" applyProtection="1">
      <alignment horizontal="center" vertical="center" textRotation="90"/>
      <protection hidden="1"/>
    </xf>
    <xf numFmtId="2" fontId="0" fillId="4" borderId="1" xfId="0" applyNumberFormat="1" applyFill="1" applyBorder="1" applyAlignment="1" applyProtection="1">
      <alignment horizontal="center" vertical="center" textRotation="90"/>
      <protection hidden="1"/>
    </xf>
    <xf numFmtId="0" fontId="12" fillId="0" borderId="1" xfId="0" applyFont="1" applyBorder="1" applyAlignment="1" applyProtection="1">
      <alignment horizontal="center" vertical="center" textRotation="90"/>
      <protection hidden="1"/>
    </xf>
    <xf numFmtId="0" fontId="0" fillId="0" borderId="1" xfId="0" applyBorder="1" applyAlignment="1" applyProtection="1">
      <alignment horizontal="center" vertical="center" textRotation="90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3" fillId="6" borderId="1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 textRotation="90"/>
      <protection hidden="1"/>
    </xf>
    <xf numFmtId="0" fontId="11" fillId="2" borderId="1" xfId="0" applyFont="1" applyFill="1" applyBorder="1" applyAlignment="1" applyProtection="1">
      <alignment horizontal="center" vertical="center" textRotation="90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 textRotation="90"/>
      <protection hidden="1"/>
    </xf>
    <xf numFmtId="0" fontId="0" fillId="6" borderId="1" xfId="0" applyFill="1" applyBorder="1" applyAlignment="1" applyProtection="1">
      <alignment horizontal="center" vertical="center" textRotation="90"/>
      <protection hidden="1"/>
    </xf>
    <xf numFmtId="0" fontId="21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left"/>
      <protection hidden="1"/>
    </xf>
    <xf numFmtId="0" fontId="12" fillId="4" borderId="1" xfId="0" applyFont="1" applyFill="1" applyBorder="1" applyAlignment="1" applyProtection="1">
      <alignment horizontal="center" vertical="center" textRotation="90"/>
      <protection hidden="1"/>
    </xf>
    <xf numFmtId="0" fontId="0" fillId="4" borderId="1" xfId="0" applyFill="1" applyBorder="1" applyAlignment="1" applyProtection="1">
      <alignment horizontal="center" vertical="center" textRotation="90"/>
      <protection hidden="1"/>
    </xf>
    <xf numFmtId="0" fontId="25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</cellXfs>
  <cellStyles count="3">
    <cellStyle name="Normal" xfId="0" builtinId="0"/>
    <cellStyle name="Normal 2" xfId="1" xr:uid="{00000000-0005-0000-0000-000001000000}"/>
    <cellStyle name="Normal 3" xfId="2" xr:uid="{65DDD5A5-807F-4E24-B010-14F17FCF8154}"/>
  </cellStyles>
  <dxfs count="2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C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414616</xdr:colOff>
      <xdr:row>0</xdr:row>
      <xdr:rowOff>11206</xdr:rowOff>
    </xdr:from>
    <xdr:to>
      <xdr:col>2</xdr:col>
      <xdr:colOff>1131793</xdr:colOff>
      <xdr:row>6</xdr:row>
      <xdr:rowOff>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734" y="11206"/>
          <a:ext cx="2577353" cy="1255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2707" cy="585024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900448" y="1569983"/>
          <a:ext cx="3225363" cy="492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203638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43962</xdr:rowOff>
    </xdr:from>
    <xdr:to>
      <xdr:col>1</xdr:col>
      <xdr:colOff>854976</xdr:colOff>
      <xdr:row>2</xdr:row>
      <xdr:rowOff>130755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43962"/>
          <a:ext cx="1162707" cy="58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5"/>
  <sheetViews>
    <sheetView tabSelected="1" topLeftCell="A15" zoomScale="115" zoomScaleNormal="115" workbookViewId="0">
      <selection activeCell="B26" sqref="B26:C58"/>
    </sheetView>
  </sheetViews>
  <sheetFormatPr defaultColWidth="8.77734375" defaultRowHeight="13.8" x14ac:dyDescent="0.25"/>
  <cols>
    <col min="1" max="1" width="9.21875" style="7"/>
    <col min="2" max="2" width="27.77734375" style="1" customWidth="1"/>
    <col min="3" max="3" width="35.21875" style="1" customWidth="1"/>
    <col min="4" max="4" width="32.44140625" style="1" customWidth="1"/>
    <col min="5" max="5" width="42.33203125" style="1" customWidth="1"/>
    <col min="6" max="6" width="8.77734375" style="1"/>
    <col min="7" max="7" width="12.33203125" style="1" customWidth="1"/>
    <col min="8" max="8" width="15.33203125" style="1" customWidth="1"/>
    <col min="9" max="9" width="8.77734375" style="1"/>
    <col min="10" max="10" width="12.44140625" style="1" customWidth="1"/>
    <col min="11" max="16384" width="8.77734375" style="1"/>
  </cols>
  <sheetData>
    <row r="1" spans="1:12" x14ac:dyDescent="0.25">
      <c r="A1" s="69"/>
      <c r="B1" s="69"/>
      <c r="C1" s="69"/>
      <c r="F1" s="2"/>
      <c r="G1" s="2"/>
      <c r="H1" s="2"/>
      <c r="I1" s="2"/>
      <c r="J1" s="2"/>
      <c r="K1" s="2"/>
      <c r="L1" s="2"/>
    </row>
    <row r="2" spans="1:12" x14ac:dyDescent="0.25">
      <c r="A2" s="69"/>
      <c r="B2" s="69"/>
      <c r="C2" s="69"/>
      <c r="D2" s="70" t="s">
        <v>6</v>
      </c>
      <c r="E2" s="70"/>
      <c r="F2" s="2"/>
      <c r="G2" s="2"/>
      <c r="H2" s="2"/>
      <c r="I2" s="2"/>
      <c r="J2" s="2"/>
      <c r="K2" s="2"/>
      <c r="L2" s="2"/>
    </row>
    <row r="3" spans="1:12" ht="15" x14ac:dyDescent="0.25">
      <c r="A3" s="69"/>
      <c r="B3" s="69"/>
      <c r="C3" s="69"/>
      <c r="D3" s="70"/>
      <c r="E3" s="70"/>
      <c r="F3" s="2"/>
      <c r="G3" s="65" t="s">
        <v>13</v>
      </c>
      <c r="H3" s="65"/>
      <c r="I3" s="65"/>
      <c r="J3" s="65"/>
      <c r="K3" s="65"/>
      <c r="L3" s="2"/>
    </row>
    <row r="4" spans="1:12" ht="15" x14ac:dyDescent="0.25">
      <c r="A4" s="69"/>
      <c r="B4" s="69"/>
      <c r="C4" s="69"/>
      <c r="D4" s="66" t="s">
        <v>8</v>
      </c>
      <c r="E4" s="66"/>
      <c r="F4" s="2"/>
      <c r="G4" s="2"/>
      <c r="H4" s="3" t="s">
        <v>10</v>
      </c>
      <c r="I4" s="3" t="s">
        <v>17</v>
      </c>
      <c r="J4" s="3" t="s">
        <v>12</v>
      </c>
      <c r="K4" s="3" t="s">
        <v>11</v>
      </c>
      <c r="L4" s="2"/>
    </row>
    <row r="5" spans="1:12" x14ac:dyDescent="0.25">
      <c r="A5" s="69"/>
      <c r="B5" s="69"/>
      <c r="C5" s="69"/>
      <c r="D5" s="22" t="s">
        <v>52</v>
      </c>
      <c r="E5" s="26" t="s">
        <v>119</v>
      </c>
      <c r="F5" s="2"/>
      <c r="G5" s="2"/>
      <c r="H5" s="3"/>
      <c r="I5" s="3"/>
      <c r="J5" s="3"/>
      <c r="K5" s="3"/>
      <c r="L5" s="2"/>
    </row>
    <row r="6" spans="1:12" x14ac:dyDescent="0.25">
      <c r="A6" s="69"/>
      <c r="B6" s="69"/>
      <c r="C6" s="69"/>
      <c r="D6" s="22" t="s">
        <v>47</v>
      </c>
      <c r="E6" s="1" t="s">
        <v>120</v>
      </c>
      <c r="F6" s="2"/>
      <c r="G6" s="2" t="s">
        <v>14</v>
      </c>
      <c r="H6" s="4">
        <v>0.1333</v>
      </c>
      <c r="I6" s="4">
        <v>0.16669999999999999</v>
      </c>
      <c r="J6" s="4">
        <v>3.3300000000000003E-2</v>
      </c>
      <c r="K6" s="5">
        <f>SUM(H6:J6)</f>
        <v>0.33329999999999999</v>
      </c>
      <c r="L6" s="6">
        <f>(K6/100)*100</f>
        <v>0.33329999999999999</v>
      </c>
    </row>
    <row r="7" spans="1:12" ht="15.75" customHeight="1" x14ac:dyDescent="0.25">
      <c r="A7" s="68" t="s">
        <v>0</v>
      </c>
      <c r="B7" s="68"/>
      <c r="C7" s="68"/>
      <c r="D7" s="68"/>
      <c r="E7" s="68"/>
      <c r="F7" s="2"/>
      <c r="G7" s="2" t="s">
        <v>15</v>
      </c>
      <c r="H7" s="4">
        <v>0.1333</v>
      </c>
      <c r="I7" s="4">
        <v>0.16669999999999999</v>
      </c>
      <c r="J7" s="4">
        <v>3.3300000000000003E-2</v>
      </c>
      <c r="K7" s="5">
        <f>SUM(H7:J7)</f>
        <v>0.33329999999999999</v>
      </c>
      <c r="L7" s="6">
        <f t="shared" ref="L7:L8" si="0">(K7/100)*100</f>
        <v>0.33329999999999999</v>
      </c>
    </row>
    <row r="8" spans="1:12" x14ac:dyDescent="0.25">
      <c r="A8" s="68"/>
      <c r="B8" s="68"/>
      <c r="C8" s="68"/>
      <c r="D8" s="68"/>
      <c r="E8" s="68"/>
      <c r="F8" s="2"/>
      <c r="G8" s="2" t="s">
        <v>16</v>
      </c>
      <c r="H8" s="4">
        <v>0.1333</v>
      </c>
      <c r="I8" s="4">
        <v>0.16669999999999999</v>
      </c>
      <c r="J8" s="4">
        <v>3.3300000000000003E-2</v>
      </c>
      <c r="K8" s="5">
        <f>SUM(H8:J8)</f>
        <v>0.33329999999999999</v>
      </c>
      <c r="L8" s="6">
        <f t="shared" si="0"/>
        <v>0.33329999999999999</v>
      </c>
    </row>
    <row r="9" spans="1:12" x14ac:dyDescent="0.25">
      <c r="B9" s="8" t="s">
        <v>42</v>
      </c>
      <c r="C9" s="9"/>
      <c r="D9" s="8" t="s">
        <v>36</v>
      </c>
      <c r="E9" s="10"/>
      <c r="F9" s="2"/>
      <c r="G9" s="2" t="s">
        <v>11</v>
      </c>
      <c r="H9" s="2"/>
      <c r="I9" s="2"/>
      <c r="J9" s="2"/>
      <c r="K9" s="11">
        <f>SUM(K6:K8)</f>
        <v>0.99990000000000001</v>
      </c>
      <c r="L9" s="2"/>
    </row>
    <row r="10" spans="1:12" x14ac:dyDescent="0.25">
      <c r="B10" s="8" t="s">
        <v>41</v>
      </c>
      <c r="C10" s="9"/>
      <c r="D10" s="8" t="s">
        <v>33</v>
      </c>
      <c r="E10" s="12"/>
      <c r="F10" s="2"/>
      <c r="G10" s="2"/>
      <c r="H10" s="2"/>
      <c r="I10" s="2"/>
      <c r="J10" s="2"/>
      <c r="K10" s="2"/>
      <c r="L10" s="2"/>
    </row>
    <row r="11" spans="1:12" x14ac:dyDescent="0.25">
      <c r="B11" s="8" t="s">
        <v>40</v>
      </c>
      <c r="C11" s="9"/>
      <c r="D11" s="8" t="s">
        <v>34</v>
      </c>
      <c r="E11" s="12"/>
      <c r="F11" s="2"/>
      <c r="G11" s="2"/>
      <c r="H11" s="2"/>
      <c r="I11" s="2"/>
      <c r="J11" s="2"/>
      <c r="K11" s="2"/>
      <c r="L11" s="2"/>
    </row>
    <row r="12" spans="1:12" x14ac:dyDescent="0.25">
      <c r="B12" s="8" t="s">
        <v>39</v>
      </c>
      <c r="C12" s="9"/>
      <c r="D12" s="8" t="s">
        <v>37</v>
      </c>
      <c r="E12" s="12"/>
      <c r="F12" s="2"/>
      <c r="G12" s="2"/>
      <c r="H12" s="2"/>
      <c r="I12" s="2"/>
      <c r="J12" s="2"/>
      <c r="K12" s="2"/>
      <c r="L12" s="2"/>
    </row>
    <row r="13" spans="1:12" x14ac:dyDescent="0.25">
      <c r="B13" s="8" t="s">
        <v>38</v>
      </c>
      <c r="C13" s="10"/>
      <c r="D13" s="8" t="s">
        <v>90</v>
      </c>
      <c r="E13" s="13"/>
      <c r="F13" s="2"/>
      <c r="G13" s="2"/>
      <c r="H13" s="2"/>
      <c r="I13" s="2"/>
      <c r="J13" s="2"/>
      <c r="K13" s="2"/>
      <c r="L13" s="2"/>
    </row>
    <row r="14" spans="1:12" x14ac:dyDescent="0.25">
      <c r="B14" s="28"/>
      <c r="D14" s="8" t="s">
        <v>117</v>
      </c>
      <c r="E14" s="29"/>
      <c r="F14" s="2"/>
      <c r="G14" s="2"/>
      <c r="H14" s="2"/>
      <c r="I14" s="2"/>
      <c r="J14" s="2"/>
      <c r="K14" s="2"/>
      <c r="L14" s="2"/>
    </row>
    <row r="15" spans="1:12" x14ac:dyDescent="0.25">
      <c r="F15" s="2"/>
      <c r="G15" s="2"/>
      <c r="H15" s="2"/>
      <c r="I15" s="2"/>
      <c r="J15" s="2"/>
      <c r="K15" s="2"/>
      <c r="L15" s="2"/>
    </row>
    <row r="16" spans="1:12" ht="15" x14ac:dyDescent="0.25">
      <c r="A16" s="14"/>
      <c r="B16" s="66" t="s">
        <v>7</v>
      </c>
      <c r="C16" s="66"/>
      <c r="D16" s="14"/>
      <c r="E16" s="14"/>
    </row>
    <row r="17" spans="1:8" ht="15" x14ac:dyDescent="0.25">
      <c r="C17" s="15" t="s">
        <v>8</v>
      </c>
      <c r="D17" s="16"/>
      <c r="E17" s="15" t="s">
        <v>50</v>
      </c>
      <c r="F17" s="64"/>
      <c r="G17" s="64"/>
      <c r="H17" s="64"/>
    </row>
    <row r="18" spans="1:8" x14ac:dyDescent="0.25">
      <c r="B18" s="17" t="s">
        <v>43</v>
      </c>
      <c r="C18" s="18"/>
      <c r="D18" s="23" t="s">
        <v>19</v>
      </c>
      <c r="E18" s="1" t="s">
        <v>48</v>
      </c>
      <c r="F18" s="7"/>
      <c r="G18" s="7"/>
      <c r="H18" s="7"/>
    </row>
    <row r="19" spans="1:8" x14ac:dyDescent="0.25">
      <c r="B19" s="17" t="s">
        <v>45</v>
      </c>
      <c r="C19" s="18"/>
      <c r="D19" s="23" t="s">
        <v>18</v>
      </c>
      <c r="E19" s="1" t="s">
        <v>49</v>
      </c>
      <c r="G19" s="19"/>
      <c r="H19" s="20"/>
    </row>
    <row r="20" spans="1:8" x14ac:dyDescent="0.25">
      <c r="B20" s="17" t="s">
        <v>44</v>
      </c>
      <c r="C20" s="18"/>
      <c r="D20" s="23" t="s">
        <v>83</v>
      </c>
      <c r="E20" s="1" t="s">
        <v>84</v>
      </c>
      <c r="F20" s="19"/>
      <c r="G20" s="19"/>
      <c r="H20" s="20"/>
    </row>
    <row r="21" spans="1:8" x14ac:dyDescent="0.25">
      <c r="B21" s="17" t="s">
        <v>46</v>
      </c>
      <c r="C21" s="18"/>
      <c r="D21" s="23"/>
      <c r="F21" s="19"/>
      <c r="G21" s="19"/>
      <c r="H21" s="20"/>
    </row>
    <row r="22" spans="1:8" x14ac:dyDescent="0.25">
      <c r="H22" s="21"/>
    </row>
    <row r="23" spans="1:8" ht="18.600000000000001" x14ac:dyDescent="0.35">
      <c r="A23" s="67" t="s">
        <v>2</v>
      </c>
      <c r="B23" s="67"/>
      <c r="C23" s="67"/>
      <c r="D23" s="67"/>
      <c r="E23" s="67"/>
    </row>
    <row r="25" spans="1:8" x14ac:dyDescent="0.25">
      <c r="A25" s="15" t="s">
        <v>3</v>
      </c>
      <c r="B25" s="15" t="s">
        <v>4</v>
      </c>
      <c r="C25" s="15" t="s">
        <v>5</v>
      </c>
      <c r="D25" s="15" t="s">
        <v>37</v>
      </c>
    </row>
    <row r="26" spans="1:8" ht="17.399999999999999" x14ac:dyDescent="0.35">
      <c r="A26" s="18">
        <f t="shared" ref="A26:A89" si="1">ROW(A1)</f>
        <v>1</v>
      </c>
      <c r="B26" s="63" t="s">
        <v>126</v>
      </c>
      <c r="C26" s="63" t="s">
        <v>127</v>
      </c>
      <c r="D26" s="24"/>
    </row>
    <row r="27" spans="1:8" ht="17.399999999999999" x14ac:dyDescent="0.35">
      <c r="A27" s="18">
        <f t="shared" si="1"/>
        <v>2</v>
      </c>
      <c r="B27" s="63" t="s">
        <v>128</v>
      </c>
      <c r="C27" s="63" t="s">
        <v>129</v>
      </c>
      <c r="D27" s="24"/>
    </row>
    <row r="28" spans="1:8" ht="17.399999999999999" x14ac:dyDescent="0.35">
      <c r="A28" s="18">
        <f t="shared" si="1"/>
        <v>3</v>
      </c>
      <c r="B28" s="63" t="s">
        <v>130</v>
      </c>
      <c r="C28" s="63" t="s">
        <v>131</v>
      </c>
      <c r="D28" s="24"/>
    </row>
    <row r="29" spans="1:8" ht="17.399999999999999" x14ac:dyDescent="0.35">
      <c r="A29" s="18">
        <f t="shared" si="1"/>
        <v>4</v>
      </c>
      <c r="B29" s="63" t="s">
        <v>132</v>
      </c>
      <c r="C29" s="63" t="s">
        <v>133</v>
      </c>
      <c r="D29" s="24"/>
    </row>
    <row r="30" spans="1:8" ht="17.399999999999999" x14ac:dyDescent="0.35">
      <c r="A30" s="18">
        <f t="shared" si="1"/>
        <v>5</v>
      </c>
      <c r="B30" s="63" t="s">
        <v>134</v>
      </c>
      <c r="C30" s="63" t="s">
        <v>135</v>
      </c>
      <c r="D30" s="24"/>
    </row>
    <row r="31" spans="1:8" ht="17.399999999999999" x14ac:dyDescent="0.35">
      <c r="A31" s="18">
        <f t="shared" si="1"/>
        <v>6</v>
      </c>
      <c r="B31" s="63" t="s">
        <v>136</v>
      </c>
      <c r="C31" s="63" t="s">
        <v>137</v>
      </c>
      <c r="D31" s="25"/>
    </row>
    <row r="32" spans="1:8" ht="17.399999999999999" x14ac:dyDescent="0.35">
      <c r="A32" s="18">
        <f t="shared" si="1"/>
        <v>7</v>
      </c>
      <c r="B32" s="63" t="s">
        <v>138</v>
      </c>
      <c r="C32" s="63" t="s">
        <v>139</v>
      </c>
      <c r="D32" s="25"/>
    </row>
    <row r="33" spans="1:4" ht="17.399999999999999" x14ac:dyDescent="0.35">
      <c r="A33" s="18">
        <f t="shared" si="1"/>
        <v>8</v>
      </c>
      <c r="B33" s="63" t="s">
        <v>123</v>
      </c>
      <c r="C33" s="63" t="s">
        <v>124</v>
      </c>
      <c r="D33" s="25"/>
    </row>
    <row r="34" spans="1:4" ht="17.399999999999999" x14ac:dyDescent="0.35">
      <c r="A34" s="18">
        <f t="shared" si="1"/>
        <v>9</v>
      </c>
      <c r="B34" s="63" t="s">
        <v>140</v>
      </c>
      <c r="C34" s="63" t="s">
        <v>141</v>
      </c>
      <c r="D34" s="25"/>
    </row>
    <row r="35" spans="1:4" ht="17.399999999999999" x14ac:dyDescent="0.35">
      <c r="A35" s="18">
        <f t="shared" si="1"/>
        <v>10</v>
      </c>
      <c r="B35" s="63" t="s">
        <v>142</v>
      </c>
      <c r="C35" s="63" t="s">
        <v>143</v>
      </c>
      <c r="D35" s="25"/>
    </row>
    <row r="36" spans="1:4" ht="17.399999999999999" x14ac:dyDescent="0.35">
      <c r="A36" s="18">
        <f t="shared" si="1"/>
        <v>11</v>
      </c>
      <c r="B36" s="63" t="s">
        <v>144</v>
      </c>
      <c r="C36" s="63" t="s">
        <v>145</v>
      </c>
      <c r="D36" s="25"/>
    </row>
    <row r="37" spans="1:4" ht="17.399999999999999" x14ac:dyDescent="0.35">
      <c r="A37" s="18">
        <f t="shared" si="1"/>
        <v>12</v>
      </c>
      <c r="B37" s="63" t="s">
        <v>146</v>
      </c>
      <c r="C37" s="63" t="s">
        <v>147</v>
      </c>
      <c r="D37" s="25"/>
    </row>
    <row r="38" spans="1:4" ht="17.399999999999999" x14ac:dyDescent="0.35">
      <c r="A38" s="18">
        <f t="shared" si="1"/>
        <v>13</v>
      </c>
      <c r="B38" s="63" t="s">
        <v>148</v>
      </c>
      <c r="C38" s="63" t="s">
        <v>149</v>
      </c>
      <c r="D38" s="25"/>
    </row>
    <row r="39" spans="1:4" ht="17.399999999999999" x14ac:dyDescent="0.35">
      <c r="A39" s="18">
        <f t="shared" si="1"/>
        <v>14</v>
      </c>
      <c r="B39" s="63" t="s">
        <v>150</v>
      </c>
      <c r="C39" s="63" t="s">
        <v>151</v>
      </c>
      <c r="D39" s="25"/>
    </row>
    <row r="40" spans="1:4" ht="17.399999999999999" x14ac:dyDescent="0.35">
      <c r="A40" s="18">
        <f t="shared" si="1"/>
        <v>15</v>
      </c>
      <c r="B40" s="63" t="s">
        <v>152</v>
      </c>
      <c r="C40" s="63" t="s">
        <v>153</v>
      </c>
      <c r="D40" s="25"/>
    </row>
    <row r="41" spans="1:4" ht="17.399999999999999" x14ac:dyDescent="0.35">
      <c r="A41" s="18">
        <f t="shared" si="1"/>
        <v>16</v>
      </c>
      <c r="B41" s="63" t="s">
        <v>154</v>
      </c>
      <c r="C41" s="63" t="s">
        <v>155</v>
      </c>
      <c r="D41" s="25"/>
    </row>
    <row r="42" spans="1:4" ht="17.399999999999999" x14ac:dyDescent="0.35">
      <c r="A42" s="18">
        <f t="shared" si="1"/>
        <v>17</v>
      </c>
      <c r="B42" s="63" t="s">
        <v>156</v>
      </c>
      <c r="C42" s="63" t="s">
        <v>157</v>
      </c>
      <c r="D42" s="25"/>
    </row>
    <row r="43" spans="1:4" ht="17.399999999999999" x14ac:dyDescent="0.35">
      <c r="A43" s="18">
        <f t="shared" si="1"/>
        <v>18</v>
      </c>
      <c r="B43" s="63" t="s">
        <v>158</v>
      </c>
      <c r="C43" s="63" t="s">
        <v>159</v>
      </c>
      <c r="D43" s="25"/>
    </row>
    <row r="44" spans="1:4" ht="17.399999999999999" x14ac:dyDescent="0.35">
      <c r="A44" s="18">
        <f t="shared" si="1"/>
        <v>19</v>
      </c>
      <c r="B44" s="63" t="s">
        <v>160</v>
      </c>
      <c r="C44" s="63" t="s">
        <v>161</v>
      </c>
      <c r="D44" s="25"/>
    </row>
    <row r="45" spans="1:4" ht="17.399999999999999" x14ac:dyDescent="0.35">
      <c r="A45" s="18">
        <f t="shared" si="1"/>
        <v>20</v>
      </c>
      <c r="B45" s="63" t="s">
        <v>162</v>
      </c>
      <c r="C45" s="63" t="s">
        <v>163</v>
      </c>
      <c r="D45" s="25"/>
    </row>
    <row r="46" spans="1:4" ht="17.399999999999999" x14ac:dyDescent="0.35">
      <c r="A46" s="18">
        <f t="shared" si="1"/>
        <v>21</v>
      </c>
      <c r="B46" s="63" t="s">
        <v>164</v>
      </c>
      <c r="C46" s="63" t="s">
        <v>165</v>
      </c>
      <c r="D46" s="25"/>
    </row>
    <row r="47" spans="1:4" ht="17.399999999999999" x14ac:dyDescent="0.35">
      <c r="A47" s="18">
        <f t="shared" si="1"/>
        <v>22</v>
      </c>
      <c r="B47" s="63" t="s">
        <v>166</v>
      </c>
      <c r="C47" s="63" t="s">
        <v>167</v>
      </c>
      <c r="D47" s="25"/>
    </row>
    <row r="48" spans="1:4" ht="17.399999999999999" x14ac:dyDescent="0.35">
      <c r="A48" s="18">
        <f t="shared" si="1"/>
        <v>23</v>
      </c>
      <c r="B48" s="63" t="s">
        <v>168</v>
      </c>
      <c r="C48" s="63" t="s">
        <v>169</v>
      </c>
      <c r="D48" s="25"/>
    </row>
    <row r="49" spans="1:4" ht="17.399999999999999" x14ac:dyDescent="0.35">
      <c r="A49" s="18">
        <f t="shared" si="1"/>
        <v>24</v>
      </c>
      <c r="B49" s="63" t="s">
        <v>170</v>
      </c>
      <c r="C49" s="63" t="s">
        <v>171</v>
      </c>
      <c r="D49" s="25"/>
    </row>
    <row r="50" spans="1:4" ht="17.399999999999999" x14ac:dyDescent="0.35">
      <c r="A50" s="18">
        <f t="shared" si="1"/>
        <v>25</v>
      </c>
      <c r="B50" s="63" t="s">
        <v>172</v>
      </c>
      <c r="C50" s="63" t="s">
        <v>173</v>
      </c>
      <c r="D50" s="25"/>
    </row>
    <row r="51" spans="1:4" ht="17.399999999999999" x14ac:dyDescent="0.35">
      <c r="A51" s="18">
        <f t="shared" si="1"/>
        <v>26</v>
      </c>
      <c r="B51" s="63" t="s">
        <v>174</v>
      </c>
      <c r="C51" s="63" t="s">
        <v>175</v>
      </c>
      <c r="D51" s="25"/>
    </row>
    <row r="52" spans="1:4" ht="17.399999999999999" x14ac:dyDescent="0.35">
      <c r="A52" s="18">
        <f t="shared" si="1"/>
        <v>27</v>
      </c>
      <c r="B52" s="63" t="s">
        <v>176</v>
      </c>
      <c r="C52" s="63" t="s">
        <v>177</v>
      </c>
      <c r="D52" s="25"/>
    </row>
    <row r="53" spans="1:4" ht="17.399999999999999" x14ac:dyDescent="0.35">
      <c r="A53" s="18">
        <f t="shared" si="1"/>
        <v>28</v>
      </c>
      <c r="B53" s="63" t="s">
        <v>178</v>
      </c>
      <c r="C53" s="63" t="s">
        <v>179</v>
      </c>
      <c r="D53" s="25"/>
    </row>
    <row r="54" spans="1:4" ht="17.399999999999999" x14ac:dyDescent="0.35">
      <c r="A54" s="18">
        <f t="shared" si="1"/>
        <v>29</v>
      </c>
      <c r="B54" s="63" t="s">
        <v>180</v>
      </c>
      <c r="C54" s="63" t="s">
        <v>181</v>
      </c>
      <c r="D54" s="25"/>
    </row>
    <row r="55" spans="1:4" ht="17.399999999999999" x14ac:dyDescent="0.35">
      <c r="A55" s="18">
        <f t="shared" si="1"/>
        <v>30</v>
      </c>
      <c r="B55" s="63" t="s">
        <v>182</v>
      </c>
      <c r="C55" s="63" t="s">
        <v>183</v>
      </c>
      <c r="D55" s="25"/>
    </row>
    <row r="56" spans="1:4" ht="17.399999999999999" x14ac:dyDescent="0.35">
      <c r="A56" s="18">
        <f t="shared" si="1"/>
        <v>31</v>
      </c>
      <c r="B56" s="63" t="s">
        <v>184</v>
      </c>
      <c r="C56" s="63" t="s">
        <v>185</v>
      </c>
      <c r="D56" s="25"/>
    </row>
    <row r="57" spans="1:4" ht="17.399999999999999" x14ac:dyDescent="0.35">
      <c r="A57" s="18">
        <f t="shared" si="1"/>
        <v>32</v>
      </c>
      <c r="B57" s="63" t="s">
        <v>186</v>
      </c>
      <c r="C57" s="63" t="s">
        <v>187</v>
      </c>
      <c r="D57" s="25"/>
    </row>
    <row r="58" spans="1:4" ht="14.4" x14ac:dyDescent="0.3">
      <c r="A58" s="18">
        <f t="shared" si="1"/>
        <v>33</v>
      </c>
      <c r="B58" s="24"/>
      <c r="C58" s="24" t="s">
        <v>188</v>
      </c>
      <c r="D58" s="25"/>
    </row>
    <row r="59" spans="1:4" ht="14.4" x14ac:dyDescent="0.3">
      <c r="A59" s="18">
        <f t="shared" si="1"/>
        <v>34</v>
      </c>
      <c r="B59" s="24"/>
      <c r="C59" s="24"/>
      <c r="D59" s="25"/>
    </row>
    <row r="60" spans="1:4" ht="14.4" x14ac:dyDescent="0.3">
      <c r="A60" s="18">
        <f t="shared" si="1"/>
        <v>35</v>
      </c>
      <c r="B60" s="24"/>
      <c r="C60" s="24"/>
      <c r="D60" s="25"/>
    </row>
    <row r="61" spans="1:4" ht="14.4" x14ac:dyDescent="0.3">
      <c r="A61" s="18">
        <f t="shared" si="1"/>
        <v>36</v>
      </c>
      <c r="B61" s="24"/>
      <c r="C61" s="24"/>
      <c r="D61" s="25"/>
    </row>
    <row r="62" spans="1:4" ht="14.4" x14ac:dyDescent="0.3">
      <c r="A62" s="18">
        <f t="shared" si="1"/>
        <v>37</v>
      </c>
      <c r="B62" s="24"/>
      <c r="C62" s="24"/>
      <c r="D62" s="25"/>
    </row>
    <row r="63" spans="1:4" ht="14.4" x14ac:dyDescent="0.3">
      <c r="A63" s="18">
        <f t="shared" si="1"/>
        <v>38</v>
      </c>
      <c r="B63" s="24"/>
      <c r="C63" s="24"/>
      <c r="D63" s="25"/>
    </row>
    <row r="64" spans="1:4" ht="14.4" x14ac:dyDescent="0.3">
      <c r="A64" s="18">
        <f t="shared" si="1"/>
        <v>39</v>
      </c>
      <c r="B64" s="24"/>
      <c r="C64" s="24"/>
      <c r="D64" s="25"/>
    </row>
    <row r="65" spans="1:4" ht="14.4" x14ac:dyDescent="0.3">
      <c r="A65" s="18">
        <f t="shared" si="1"/>
        <v>40</v>
      </c>
      <c r="B65" s="24"/>
      <c r="C65" s="24"/>
      <c r="D65" s="25"/>
    </row>
    <row r="66" spans="1:4" ht="14.4" x14ac:dyDescent="0.3">
      <c r="A66" s="18">
        <f t="shared" si="1"/>
        <v>41</v>
      </c>
      <c r="B66" s="24"/>
      <c r="C66" s="24"/>
      <c r="D66" s="25"/>
    </row>
    <row r="67" spans="1:4" ht="14.4" x14ac:dyDescent="0.3">
      <c r="A67" s="18">
        <f t="shared" si="1"/>
        <v>42</v>
      </c>
      <c r="B67" s="24"/>
      <c r="C67" s="24"/>
      <c r="D67" s="25"/>
    </row>
    <row r="68" spans="1:4" ht="14.4" x14ac:dyDescent="0.3">
      <c r="A68" s="18">
        <f t="shared" si="1"/>
        <v>43</v>
      </c>
      <c r="B68" s="24"/>
      <c r="C68" s="24"/>
      <c r="D68" s="25"/>
    </row>
    <row r="69" spans="1:4" ht="14.4" x14ac:dyDescent="0.3">
      <c r="A69" s="18">
        <f t="shared" si="1"/>
        <v>44</v>
      </c>
      <c r="B69" s="24"/>
      <c r="C69" s="24"/>
      <c r="D69" s="25"/>
    </row>
    <row r="70" spans="1:4" ht="14.4" x14ac:dyDescent="0.3">
      <c r="A70" s="18">
        <f t="shared" si="1"/>
        <v>45</v>
      </c>
      <c r="B70" s="24"/>
      <c r="C70" s="24"/>
      <c r="D70" s="25"/>
    </row>
    <row r="71" spans="1:4" ht="14.4" x14ac:dyDescent="0.3">
      <c r="A71" s="18">
        <f t="shared" si="1"/>
        <v>46</v>
      </c>
      <c r="B71" s="24"/>
      <c r="C71" s="24"/>
      <c r="D71" s="25"/>
    </row>
    <row r="72" spans="1:4" ht="14.4" x14ac:dyDescent="0.3">
      <c r="A72" s="18">
        <f t="shared" si="1"/>
        <v>47</v>
      </c>
      <c r="B72" s="24"/>
      <c r="C72" s="24"/>
      <c r="D72" s="25"/>
    </row>
    <row r="73" spans="1:4" ht="14.4" x14ac:dyDescent="0.3">
      <c r="A73" s="18">
        <f t="shared" si="1"/>
        <v>48</v>
      </c>
      <c r="B73" s="24"/>
      <c r="C73" s="24"/>
      <c r="D73" s="25"/>
    </row>
    <row r="74" spans="1:4" ht="14.4" x14ac:dyDescent="0.3">
      <c r="A74" s="18">
        <f t="shared" si="1"/>
        <v>49</v>
      </c>
      <c r="B74" s="24"/>
      <c r="C74" s="24"/>
      <c r="D74" s="25"/>
    </row>
    <row r="75" spans="1:4" ht="14.4" x14ac:dyDescent="0.3">
      <c r="A75" s="18">
        <f t="shared" si="1"/>
        <v>50</v>
      </c>
      <c r="B75" s="24"/>
      <c r="C75" s="24"/>
      <c r="D75" s="25"/>
    </row>
    <row r="76" spans="1:4" ht="14.4" x14ac:dyDescent="0.3">
      <c r="A76" s="18">
        <f t="shared" si="1"/>
        <v>51</v>
      </c>
      <c r="B76" s="24"/>
      <c r="C76" s="24"/>
      <c r="D76" s="25"/>
    </row>
    <row r="77" spans="1:4" ht="14.4" x14ac:dyDescent="0.3">
      <c r="A77" s="18">
        <f t="shared" si="1"/>
        <v>52</v>
      </c>
      <c r="B77" s="24"/>
      <c r="C77" s="24"/>
      <c r="D77" s="25"/>
    </row>
    <row r="78" spans="1:4" ht="14.4" x14ac:dyDescent="0.3">
      <c r="A78" s="18">
        <f t="shared" si="1"/>
        <v>53</v>
      </c>
      <c r="B78" s="24"/>
      <c r="C78" s="24"/>
      <c r="D78" s="25"/>
    </row>
    <row r="79" spans="1:4" ht="14.4" x14ac:dyDescent="0.3">
      <c r="A79" s="18">
        <f t="shared" si="1"/>
        <v>54</v>
      </c>
      <c r="B79" s="24"/>
      <c r="C79" s="24"/>
      <c r="D79" s="25"/>
    </row>
    <row r="80" spans="1:4" ht="14.4" x14ac:dyDescent="0.3">
      <c r="A80" s="18">
        <f t="shared" si="1"/>
        <v>55</v>
      </c>
      <c r="B80" s="24"/>
      <c r="C80" s="24"/>
      <c r="D80" s="25"/>
    </row>
    <row r="81" spans="1:4" ht="14.4" x14ac:dyDescent="0.3">
      <c r="A81" s="18">
        <f t="shared" si="1"/>
        <v>56</v>
      </c>
      <c r="B81" s="24"/>
      <c r="C81" s="24"/>
      <c r="D81" s="25"/>
    </row>
    <row r="82" spans="1:4" ht="14.4" x14ac:dyDescent="0.3">
      <c r="A82" s="18">
        <f t="shared" si="1"/>
        <v>57</v>
      </c>
      <c r="B82" s="24"/>
      <c r="C82" s="24"/>
      <c r="D82" s="25"/>
    </row>
    <row r="83" spans="1:4" ht="14.4" x14ac:dyDescent="0.3">
      <c r="A83" s="18">
        <f t="shared" si="1"/>
        <v>58</v>
      </c>
      <c r="B83" s="24"/>
      <c r="C83" s="24"/>
      <c r="D83" s="25"/>
    </row>
    <row r="84" spans="1:4" ht="14.4" x14ac:dyDescent="0.3">
      <c r="A84" s="18">
        <f t="shared" si="1"/>
        <v>59</v>
      </c>
      <c r="B84" s="24"/>
      <c r="C84" s="24"/>
      <c r="D84" s="25"/>
    </row>
    <row r="85" spans="1:4" ht="14.4" x14ac:dyDescent="0.3">
      <c r="A85" s="18">
        <f t="shared" si="1"/>
        <v>60</v>
      </c>
      <c r="B85" s="24"/>
      <c r="C85" s="24"/>
      <c r="D85" s="25"/>
    </row>
    <row r="86" spans="1:4" ht="14.4" x14ac:dyDescent="0.3">
      <c r="A86" s="18">
        <f t="shared" si="1"/>
        <v>61</v>
      </c>
      <c r="B86" s="24"/>
      <c r="C86" s="24"/>
      <c r="D86" s="25"/>
    </row>
    <row r="87" spans="1:4" ht="14.4" x14ac:dyDescent="0.3">
      <c r="A87" s="18">
        <f t="shared" si="1"/>
        <v>62</v>
      </c>
      <c r="B87" s="24"/>
      <c r="C87" s="24"/>
      <c r="D87" s="25"/>
    </row>
    <row r="88" spans="1:4" ht="14.4" x14ac:dyDescent="0.3">
      <c r="A88" s="18">
        <f t="shared" si="1"/>
        <v>63</v>
      </c>
      <c r="B88" s="24"/>
      <c r="C88" s="24"/>
      <c r="D88" s="25"/>
    </row>
    <row r="89" spans="1:4" ht="14.4" x14ac:dyDescent="0.3">
      <c r="A89" s="18">
        <f t="shared" si="1"/>
        <v>64</v>
      </c>
      <c r="B89" s="24"/>
      <c r="C89" s="24"/>
      <c r="D89" s="25"/>
    </row>
    <row r="90" spans="1:4" ht="14.4" x14ac:dyDescent="0.3">
      <c r="A90" s="18">
        <f t="shared" ref="A90:A145" si="2">ROW(A65)</f>
        <v>65</v>
      </c>
      <c r="B90" s="24"/>
      <c r="C90" s="24"/>
      <c r="D90" s="25"/>
    </row>
    <row r="91" spans="1:4" ht="14.4" x14ac:dyDescent="0.3">
      <c r="A91" s="18">
        <f t="shared" si="2"/>
        <v>66</v>
      </c>
      <c r="B91" s="24"/>
      <c r="C91" s="24"/>
      <c r="D91" s="25"/>
    </row>
    <row r="92" spans="1:4" ht="14.4" x14ac:dyDescent="0.3">
      <c r="A92" s="18">
        <f t="shared" si="2"/>
        <v>67</v>
      </c>
      <c r="B92" s="24"/>
      <c r="C92" s="24"/>
      <c r="D92" s="25"/>
    </row>
    <row r="93" spans="1:4" ht="14.4" x14ac:dyDescent="0.3">
      <c r="A93" s="18">
        <f t="shared" si="2"/>
        <v>68</v>
      </c>
      <c r="B93" s="24"/>
      <c r="C93" s="24"/>
      <c r="D93" s="25"/>
    </row>
    <row r="94" spans="1:4" ht="14.4" x14ac:dyDescent="0.3">
      <c r="A94" s="18">
        <f t="shared" si="2"/>
        <v>69</v>
      </c>
      <c r="B94" s="24"/>
      <c r="C94" s="24"/>
      <c r="D94" s="25"/>
    </row>
    <row r="95" spans="1:4" ht="14.4" x14ac:dyDescent="0.3">
      <c r="A95" s="18">
        <f t="shared" si="2"/>
        <v>70</v>
      </c>
      <c r="B95" s="24"/>
      <c r="C95" s="24"/>
      <c r="D95" s="25"/>
    </row>
    <row r="96" spans="1:4" ht="14.4" x14ac:dyDescent="0.3">
      <c r="A96" s="18">
        <f t="shared" si="2"/>
        <v>71</v>
      </c>
      <c r="B96" s="24"/>
      <c r="C96" s="24"/>
      <c r="D96" s="25"/>
    </row>
    <row r="97" spans="1:4" ht="14.4" x14ac:dyDescent="0.3">
      <c r="A97" s="18">
        <f t="shared" si="2"/>
        <v>72</v>
      </c>
      <c r="B97" s="24"/>
      <c r="C97" s="24"/>
      <c r="D97" s="25"/>
    </row>
    <row r="98" spans="1:4" ht="14.4" x14ac:dyDescent="0.3">
      <c r="A98" s="18">
        <f t="shared" si="2"/>
        <v>73</v>
      </c>
      <c r="B98" s="24"/>
      <c r="C98" s="24"/>
      <c r="D98" s="25"/>
    </row>
    <row r="99" spans="1:4" ht="14.4" x14ac:dyDescent="0.3">
      <c r="A99" s="18">
        <f t="shared" si="2"/>
        <v>74</v>
      </c>
      <c r="B99" s="24"/>
      <c r="C99" s="24"/>
      <c r="D99" s="25"/>
    </row>
    <row r="100" spans="1:4" ht="14.4" x14ac:dyDescent="0.3">
      <c r="A100" s="18">
        <f t="shared" si="2"/>
        <v>75</v>
      </c>
      <c r="B100" s="24"/>
      <c r="C100" s="24"/>
      <c r="D100" s="25"/>
    </row>
    <row r="101" spans="1:4" ht="14.4" x14ac:dyDescent="0.3">
      <c r="A101" s="18">
        <f t="shared" si="2"/>
        <v>76</v>
      </c>
      <c r="B101" s="24"/>
      <c r="C101" s="24"/>
      <c r="D101" s="25"/>
    </row>
    <row r="102" spans="1:4" ht="14.4" x14ac:dyDescent="0.3">
      <c r="A102" s="18">
        <f t="shared" si="2"/>
        <v>77</v>
      </c>
      <c r="B102" s="24"/>
      <c r="C102" s="24"/>
      <c r="D102" s="25"/>
    </row>
    <row r="103" spans="1:4" ht="14.4" x14ac:dyDescent="0.3">
      <c r="A103" s="18">
        <f t="shared" si="2"/>
        <v>78</v>
      </c>
      <c r="B103" s="24"/>
      <c r="C103" s="24"/>
      <c r="D103" s="25"/>
    </row>
    <row r="104" spans="1:4" ht="14.4" x14ac:dyDescent="0.3">
      <c r="A104" s="18">
        <f t="shared" si="2"/>
        <v>79</v>
      </c>
      <c r="B104" s="24"/>
      <c r="C104" s="24"/>
      <c r="D104" s="25"/>
    </row>
    <row r="105" spans="1:4" ht="14.4" x14ac:dyDescent="0.3">
      <c r="A105" s="18">
        <f t="shared" si="2"/>
        <v>80</v>
      </c>
      <c r="B105" s="24"/>
      <c r="C105" s="24"/>
      <c r="D105" s="25"/>
    </row>
    <row r="106" spans="1:4" ht="14.4" x14ac:dyDescent="0.3">
      <c r="A106" s="18">
        <f t="shared" si="2"/>
        <v>81</v>
      </c>
      <c r="B106" s="24"/>
      <c r="C106" s="24"/>
      <c r="D106" s="25"/>
    </row>
    <row r="107" spans="1:4" ht="14.4" x14ac:dyDescent="0.3">
      <c r="A107" s="18">
        <f t="shared" si="2"/>
        <v>82</v>
      </c>
      <c r="B107" s="24"/>
      <c r="C107" s="24"/>
      <c r="D107" s="25"/>
    </row>
    <row r="108" spans="1:4" ht="14.4" x14ac:dyDescent="0.3">
      <c r="A108" s="18">
        <f t="shared" si="2"/>
        <v>83</v>
      </c>
      <c r="B108" s="24"/>
      <c r="C108" s="24"/>
      <c r="D108" s="25"/>
    </row>
    <row r="109" spans="1:4" ht="14.4" x14ac:dyDescent="0.3">
      <c r="A109" s="18">
        <f t="shared" si="2"/>
        <v>84</v>
      </c>
      <c r="B109" s="24"/>
      <c r="C109" s="24"/>
      <c r="D109" s="25"/>
    </row>
    <row r="110" spans="1:4" ht="14.4" x14ac:dyDescent="0.3">
      <c r="A110" s="18">
        <f t="shared" si="2"/>
        <v>85</v>
      </c>
      <c r="B110" s="24"/>
      <c r="C110" s="24"/>
      <c r="D110" s="25"/>
    </row>
    <row r="111" spans="1:4" ht="14.4" x14ac:dyDescent="0.3">
      <c r="A111" s="18">
        <f t="shared" si="2"/>
        <v>86</v>
      </c>
      <c r="B111" s="24"/>
      <c r="C111" s="24"/>
      <c r="D111" s="25"/>
    </row>
    <row r="112" spans="1:4" ht="14.4" x14ac:dyDescent="0.3">
      <c r="A112" s="18">
        <f t="shared" si="2"/>
        <v>87</v>
      </c>
      <c r="B112" s="24"/>
      <c r="C112" s="24"/>
      <c r="D112" s="25"/>
    </row>
    <row r="113" spans="1:4" ht="14.4" x14ac:dyDescent="0.3">
      <c r="A113" s="18">
        <f t="shared" si="2"/>
        <v>88</v>
      </c>
      <c r="B113" s="24"/>
      <c r="C113" s="24"/>
      <c r="D113" s="25"/>
    </row>
    <row r="114" spans="1:4" ht="14.4" x14ac:dyDescent="0.3">
      <c r="A114" s="18">
        <f t="shared" si="2"/>
        <v>89</v>
      </c>
      <c r="B114" s="24"/>
      <c r="C114" s="24"/>
      <c r="D114" s="25"/>
    </row>
    <row r="115" spans="1:4" ht="14.4" x14ac:dyDescent="0.3">
      <c r="A115" s="18">
        <f t="shared" si="2"/>
        <v>90</v>
      </c>
      <c r="B115" s="24"/>
      <c r="C115" s="24"/>
      <c r="D115" s="25"/>
    </row>
    <row r="116" spans="1:4" ht="14.4" x14ac:dyDescent="0.3">
      <c r="A116" s="18">
        <f t="shared" si="2"/>
        <v>91</v>
      </c>
      <c r="B116" s="24"/>
      <c r="C116" s="24"/>
      <c r="D116" s="25"/>
    </row>
    <row r="117" spans="1:4" ht="14.4" x14ac:dyDescent="0.3">
      <c r="A117" s="18">
        <f t="shared" si="2"/>
        <v>92</v>
      </c>
      <c r="B117" s="24"/>
      <c r="C117" s="24"/>
      <c r="D117" s="25"/>
    </row>
    <row r="118" spans="1:4" ht="14.4" x14ac:dyDescent="0.3">
      <c r="A118" s="18">
        <f t="shared" si="2"/>
        <v>93</v>
      </c>
      <c r="B118" s="24"/>
      <c r="C118" s="24"/>
      <c r="D118" s="25"/>
    </row>
    <row r="119" spans="1:4" ht="14.4" x14ac:dyDescent="0.3">
      <c r="A119" s="18">
        <f t="shared" si="2"/>
        <v>94</v>
      </c>
      <c r="B119" s="24"/>
      <c r="C119" s="24"/>
      <c r="D119" s="25"/>
    </row>
    <row r="120" spans="1:4" ht="14.4" x14ac:dyDescent="0.3">
      <c r="A120" s="18">
        <f t="shared" si="2"/>
        <v>95</v>
      </c>
      <c r="B120" s="24"/>
      <c r="C120" s="24"/>
      <c r="D120" s="25"/>
    </row>
    <row r="121" spans="1:4" ht="14.4" x14ac:dyDescent="0.3">
      <c r="A121" s="18">
        <f t="shared" si="2"/>
        <v>96</v>
      </c>
      <c r="B121" s="24"/>
      <c r="C121" s="24"/>
      <c r="D121" s="25"/>
    </row>
    <row r="122" spans="1:4" ht="14.4" x14ac:dyDescent="0.3">
      <c r="A122" s="18">
        <f t="shared" si="2"/>
        <v>97</v>
      </c>
      <c r="B122" s="24"/>
      <c r="C122" s="24"/>
      <c r="D122" s="25"/>
    </row>
    <row r="123" spans="1:4" ht="14.4" x14ac:dyDescent="0.3">
      <c r="A123" s="18">
        <f t="shared" si="2"/>
        <v>98</v>
      </c>
      <c r="B123" s="24"/>
      <c r="C123" s="24"/>
      <c r="D123" s="25"/>
    </row>
    <row r="124" spans="1:4" ht="14.4" x14ac:dyDescent="0.3">
      <c r="A124" s="18">
        <f t="shared" si="2"/>
        <v>99</v>
      </c>
      <c r="B124" s="24"/>
      <c r="C124" s="24"/>
      <c r="D124" s="25"/>
    </row>
    <row r="125" spans="1:4" ht="14.4" x14ac:dyDescent="0.3">
      <c r="A125" s="18">
        <f t="shared" si="2"/>
        <v>100</v>
      </c>
      <c r="B125" s="24"/>
      <c r="C125" s="24"/>
      <c r="D125" s="25"/>
    </row>
    <row r="126" spans="1:4" x14ac:dyDescent="0.25">
      <c r="A126" s="18">
        <f t="shared" si="2"/>
        <v>101</v>
      </c>
      <c r="B126" s="25"/>
      <c r="C126" s="25"/>
      <c r="D126" s="25"/>
    </row>
    <row r="127" spans="1:4" x14ac:dyDescent="0.25">
      <c r="A127" s="18">
        <f t="shared" si="2"/>
        <v>102</v>
      </c>
      <c r="B127" s="25"/>
      <c r="C127" s="25"/>
      <c r="D127" s="25"/>
    </row>
    <row r="128" spans="1:4" x14ac:dyDescent="0.25">
      <c r="A128" s="18">
        <f t="shared" si="2"/>
        <v>103</v>
      </c>
      <c r="B128" s="25"/>
      <c r="C128" s="25"/>
      <c r="D128" s="25"/>
    </row>
    <row r="129" spans="1:4" x14ac:dyDescent="0.25">
      <c r="A129" s="18">
        <f t="shared" si="2"/>
        <v>104</v>
      </c>
      <c r="B129" s="25"/>
      <c r="C129" s="25"/>
      <c r="D129" s="25"/>
    </row>
    <row r="130" spans="1:4" x14ac:dyDescent="0.25">
      <c r="A130" s="18">
        <f t="shared" si="2"/>
        <v>105</v>
      </c>
      <c r="B130" s="25"/>
      <c r="C130" s="25"/>
      <c r="D130" s="25"/>
    </row>
    <row r="131" spans="1:4" x14ac:dyDescent="0.25">
      <c r="A131" s="18">
        <f t="shared" si="2"/>
        <v>106</v>
      </c>
      <c r="B131" s="25"/>
      <c r="C131" s="25"/>
      <c r="D131" s="25"/>
    </row>
    <row r="132" spans="1:4" x14ac:dyDescent="0.25">
      <c r="A132" s="18">
        <f t="shared" si="2"/>
        <v>107</v>
      </c>
      <c r="B132" s="25"/>
      <c r="C132" s="25"/>
      <c r="D132" s="25"/>
    </row>
    <row r="133" spans="1:4" x14ac:dyDescent="0.25">
      <c r="A133" s="18">
        <f t="shared" si="2"/>
        <v>108</v>
      </c>
      <c r="B133" s="25"/>
      <c r="C133" s="25"/>
      <c r="D133" s="25"/>
    </row>
    <row r="134" spans="1:4" x14ac:dyDescent="0.25">
      <c r="A134" s="18">
        <f t="shared" si="2"/>
        <v>109</v>
      </c>
      <c r="B134" s="25"/>
      <c r="C134" s="25"/>
      <c r="D134" s="25"/>
    </row>
    <row r="135" spans="1:4" x14ac:dyDescent="0.25">
      <c r="A135" s="18">
        <f t="shared" si="2"/>
        <v>110</v>
      </c>
      <c r="B135" s="25"/>
      <c r="C135" s="25"/>
      <c r="D135" s="25"/>
    </row>
    <row r="136" spans="1:4" x14ac:dyDescent="0.25">
      <c r="A136" s="18">
        <f t="shared" si="2"/>
        <v>111</v>
      </c>
      <c r="B136" s="25"/>
      <c r="C136" s="25"/>
      <c r="D136" s="25"/>
    </row>
    <row r="137" spans="1:4" x14ac:dyDescent="0.25">
      <c r="A137" s="18">
        <f t="shared" si="2"/>
        <v>112</v>
      </c>
      <c r="B137" s="25"/>
      <c r="C137" s="25"/>
      <c r="D137" s="25"/>
    </row>
    <row r="138" spans="1:4" x14ac:dyDescent="0.25">
      <c r="A138" s="18">
        <f t="shared" si="2"/>
        <v>113</v>
      </c>
      <c r="B138" s="25"/>
      <c r="C138" s="25"/>
      <c r="D138" s="25"/>
    </row>
    <row r="139" spans="1:4" x14ac:dyDescent="0.25">
      <c r="A139" s="18">
        <f t="shared" si="2"/>
        <v>114</v>
      </c>
      <c r="B139" s="25"/>
      <c r="C139" s="25"/>
      <c r="D139" s="25"/>
    </row>
    <row r="140" spans="1:4" x14ac:dyDescent="0.25">
      <c r="A140" s="18">
        <f t="shared" si="2"/>
        <v>115</v>
      </c>
      <c r="B140" s="25"/>
      <c r="C140" s="25"/>
      <c r="D140" s="25"/>
    </row>
    <row r="141" spans="1:4" x14ac:dyDescent="0.25">
      <c r="A141" s="18">
        <f t="shared" si="2"/>
        <v>116</v>
      </c>
      <c r="B141" s="25"/>
      <c r="C141" s="25"/>
      <c r="D141" s="25"/>
    </row>
    <row r="142" spans="1:4" x14ac:dyDescent="0.25">
      <c r="A142" s="18">
        <f t="shared" si="2"/>
        <v>117</v>
      </c>
      <c r="B142" s="25"/>
      <c r="C142" s="25"/>
      <c r="D142" s="25"/>
    </row>
    <row r="143" spans="1:4" x14ac:dyDescent="0.25">
      <c r="A143" s="18">
        <f t="shared" si="2"/>
        <v>118</v>
      </c>
      <c r="B143" s="25"/>
      <c r="C143" s="25"/>
      <c r="D143" s="25"/>
    </row>
    <row r="144" spans="1:4" x14ac:dyDescent="0.25">
      <c r="A144" s="18">
        <f t="shared" si="2"/>
        <v>119</v>
      </c>
      <c r="B144" s="25"/>
      <c r="C144" s="25"/>
      <c r="D144" s="25"/>
    </row>
    <row r="145" spans="1:4" x14ac:dyDescent="0.25">
      <c r="A145" s="18">
        <f t="shared" si="2"/>
        <v>120</v>
      </c>
      <c r="B145" s="25"/>
      <c r="C145" s="25"/>
      <c r="D145" s="25"/>
    </row>
  </sheetData>
  <sortState xmlns:xlrd2="http://schemas.microsoft.com/office/spreadsheetml/2017/richdata2" ref="A25:D74">
    <sortCondition ref="C25"/>
  </sortState>
  <mergeCells count="8">
    <mergeCell ref="F17:H17"/>
    <mergeCell ref="G3:K3"/>
    <mergeCell ref="D4:E4"/>
    <mergeCell ref="A23:E23"/>
    <mergeCell ref="A7:E8"/>
    <mergeCell ref="B16:C16"/>
    <mergeCell ref="A1:C6"/>
    <mergeCell ref="D2:E3"/>
  </mergeCells>
  <conditionalFormatting sqref="B26:D145">
    <cfRule type="notContainsBlanks" dxfId="28" priority="1">
      <formula>LEN(TRIM(B26))&gt;0</formula>
    </cfRule>
  </conditionalFormatting>
  <dataValidations count="4">
    <dataValidation type="list" allowBlank="1" showInputMessage="1" showErrorMessage="1" sqref="C10" xr:uid="{00000000-0002-0000-0000-000000000000}">
      <formula1>"First, Second, Midyear"</formula1>
    </dataValidation>
    <dataValidation type="list" allowBlank="1" showInputMessage="1" showErrorMessage="1" sqref="E6" xr:uid="{00000000-0002-0000-0000-000001000000}">
      <formula1>"Quezon City, Antipolo City"</formula1>
    </dataValidation>
    <dataValidation type="list" allowBlank="1" showInputMessage="1" showErrorMessage="1" sqref="C17" xr:uid="{00000000-0002-0000-0000-000002000000}">
      <formula1>"LECTURE, LABORATORY"</formula1>
    </dataValidation>
    <dataValidation type="list" allowBlank="1" showInputMessage="1" showErrorMessage="1" sqref="E14" xr:uid="{00000000-0002-0000-0000-000003000000}">
      <formula1>"Lecture, Laboratory"</formula1>
    </dataValidation>
  </dataValidation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4000000}">
          <x14:formula1>
            <xm:f>Data!$A$1:$A$14</xm:f>
          </x14:formula1>
          <xm:sqref>C11</xm:sqref>
        </x14:dataValidation>
        <x14:dataValidation type="list" allowBlank="1" showInputMessage="1" showErrorMessage="1" xr:uid="{00000000-0002-0000-0000-000005000000}">
          <x14:formula1>
            <xm:f>Data!$A$17:$A$33</xm:f>
          </x14:formula1>
          <xm:sqref>E12</xm:sqref>
        </x14:dataValidation>
        <x14:dataValidation type="list" allowBlank="1" showInputMessage="1" showErrorMessage="1" xr:uid="{00000000-0002-0000-0000-000006000000}">
          <x14:formula1>
            <xm:f>Data!$B$1:$B$2</xm:f>
          </x14:formula1>
          <xm:sqref>D10</xm:sqref>
        </x14:dataValidation>
        <x14:dataValidation type="list" allowBlank="1" showInputMessage="1" showErrorMessage="1" xr:uid="{00000000-0002-0000-0000-000007000000}">
          <x14:formula1>
            <xm:f>Data!$B$4:$B$6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116"/>
  <sheetViews>
    <sheetView showGridLines="0" view="pageBreakPreview" topLeftCell="A33" zoomScale="145" zoomScaleNormal="145" zoomScaleSheetLayoutView="145" workbookViewId="0">
      <selection activeCell="C45" sqref="C45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7" width="5.6640625" style="59" customWidth="1"/>
    <col min="18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83" t="s">
        <v>24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19" ht="14.4" x14ac:dyDescent="0.3">
      <c r="A2" s="85" t="str">
        <f>'DATA ENTRY'!E6</f>
        <v>Antipolo City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19" x14ac:dyDescent="0.3">
      <c r="A3" s="86" t="s">
        <v>22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</row>
    <row r="4" spans="1:19" x14ac:dyDescent="0.3">
      <c r="A4" s="88" t="s">
        <v>23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89">
        <f>'DATA ENTRY'!$C$18</f>
        <v>0</v>
      </c>
      <c r="L5" s="89"/>
      <c r="M5" s="89"/>
      <c r="P5" s="35" t="s">
        <v>111</v>
      </c>
      <c r="Q5" s="89">
        <f>'DATA ENTRY'!C21</f>
        <v>0</v>
      </c>
      <c r="R5" s="89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89">
        <f>'DATA ENTRY'!$C$19</f>
        <v>0</v>
      </c>
      <c r="L6" s="89"/>
      <c r="M6" s="89"/>
      <c r="P6" s="35" t="s">
        <v>112</v>
      </c>
      <c r="Q6" s="89">
        <f>'DATA ENTRY'!E13</f>
        <v>0</v>
      </c>
      <c r="R6" s="89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89">
        <f>'DATA ENTRY'!C20</f>
        <v>0</v>
      </c>
      <c r="L7" s="89"/>
      <c r="M7" s="89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89">
        <f>'DATA ENTRY'!C10</f>
        <v>0</v>
      </c>
      <c r="L8" s="89"/>
      <c r="M8" s="89"/>
    </row>
    <row r="9" spans="1:19" x14ac:dyDescent="0.3">
      <c r="B9" s="35" t="s">
        <v>106</v>
      </c>
      <c r="C9" s="89">
        <f>'DATA ENTRY'!$C$13</f>
        <v>0</v>
      </c>
      <c r="D9" s="89"/>
      <c r="E9" s="89"/>
      <c r="F9" s="89"/>
      <c r="G9" s="89"/>
      <c r="H9" s="89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75" t="s">
        <v>27</v>
      </c>
      <c r="B12" s="75" t="s">
        <v>28</v>
      </c>
      <c r="C12" s="75" t="s">
        <v>5</v>
      </c>
      <c r="D12" s="77" t="s">
        <v>91</v>
      </c>
      <c r="E12" s="77"/>
      <c r="F12" s="77"/>
      <c r="G12" s="77"/>
      <c r="H12" s="77"/>
      <c r="I12" s="78" t="s">
        <v>92</v>
      </c>
      <c r="J12" s="77" t="s">
        <v>10</v>
      </c>
      <c r="K12" s="80"/>
      <c r="L12" s="80"/>
      <c r="M12" s="80"/>
      <c r="N12" s="80"/>
      <c r="O12" s="78" t="s">
        <v>92</v>
      </c>
      <c r="P12" s="81" t="s">
        <v>99</v>
      </c>
      <c r="Q12" s="71" t="s">
        <v>21</v>
      </c>
      <c r="R12" s="73" t="s">
        <v>20</v>
      </c>
      <c r="S12" s="73" t="s">
        <v>9</v>
      </c>
    </row>
    <row r="13" spans="1:19" ht="103.5" customHeight="1" x14ac:dyDescent="0.3">
      <c r="A13" s="76"/>
      <c r="B13" s="76"/>
      <c r="C13" s="76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79"/>
      <c r="J13" s="39"/>
      <c r="K13" s="39"/>
      <c r="L13" s="39"/>
      <c r="M13" s="39"/>
      <c r="N13" s="39"/>
      <c r="O13" s="79"/>
      <c r="P13" s="82"/>
      <c r="Q13" s="72"/>
      <c r="R13" s="74"/>
      <c r="S13" s="74"/>
    </row>
    <row r="14" spans="1:19" x14ac:dyDescent="0.3">
      <c r="A14" s="40">
        <v>1</v>
      </c>
      <c r="B14" s="41" t="str">
        <f>'DATA ENTRY'!B26</f>
        <v>23-QC04797</v>
      </c>
      <c r="C14" s="42" t="str">
        <f>'DATA ENTRY'!C26</f>
        <v>ABOL, ROLAND CARL SANTIAGO</v>
      </c>
      <c r="D14" s="43"/>
      <c r="E14" s="43">
        <v>90</v>
      </c>
      <c r="F14" s="43"/>
      <c r="G14" s="43"/>
      <c r="H14" s="43"/>
      <c r="I14" s="44">
        <f>IFERROR(AVERAGE(D14:H14),"0")</f>
        <v>90</v>
      </c>
      <c r="J14" s="43" t="s">
        <v>121</v>
      </c>
      <c r="K14" s="43" t="s">
        <v>122</v>
      </c>
      <c r="L14" s="43" t="s">
        <v>125</v>
      </c>
      <c r="M14" s="43"/>
      <c r="N14" s="43"/>
      <c r="O14" s="44" t="str">
        <f>IFERROR(AVERAGE(J14:N14),"0")</f>
        <v>0</v>
      </c>
      <c r="P14" s="43"/>
      <c r="Q14" s="45">
        <f>SUM(I14,O14,P14)/3</f>
        <v>30</v>
      </c>
      <c r="R14" s="40">
        <f>VLOOKUP(Q14,TGQC!$X$1:$Y$990,2)</f>
        <v>5</v>
      </c>
      <c r="S14" s="40" t="str">
        <f>VLOOKUP(R14,TGQC!$H$1:$I$16,2,0)</f>
        <v>Failed</v>
      </c>
    </row>
    <row r="15" spans="1:19" x14ac:dyDescent="0.3">
      <c r="A15" s="40">
        <v>2</v>
      </c>
      <c r="B15" s="41" t="str">
        <f>'DATA ENTRY'!B27</f>
        <v>23-QC05073</v>
      </c>
      <c r="C15" s="42" t="str">
        <f>'DATA ENTRY'!C27</f>
        <v>AGUINALDO, ANGELO NIKHAIL SAN DIEGO</v>
      </c>
      <c r="D15" s="43">
        <v>100</v>
      </c>
      <c r="E15" s="43">
        <v>100</v>
      </c>
      <c r="F15" s="43"/>
      <c r="G15" s="43"/>
      <c r="H15" s="43"/>
      <c r="I15" s="44">
        <f t="shared" ref="I15:I78" si="0">IFERROR(AVERAGE(D15:H15),"0")</f>
        <v>100</v>
      </c>
      <c r="J15" s="43" t="s">
        <v>121</v>
      </c>
      <c r="K15" s="43" t="s">
        <v>121</v>
      </c>
      <c r="L15" s="43" t="s">
        <v>125</v>
      </c>
      <c r="M15" s="43"/>
      <c r="N15" s="43"/>
      <c r="O15" s="44" t="str">
        <f t="shared" ref="O15:O78" si="1">IFERROR(AVERAGE(J15:N15),"0")</f>
        <v>0</v>
      </c>
      <c r="P15" s="43"/>
      <c r="Q15" s="45">
        <f t="shared" ref="Q15:Q78" si="2">SUM(I15,O15,P15)/3</f>
        <v>33.333333333333336</v>
      </c>
      <c r="R15" s="40">
        <f>VLOOKUP(Q15,TGQC!$X$1:$Y$990,2)</f>
        <v>5</v>
      </c>
      <c r="S15" s="40" t="str">
        <f>VLOOKUP(R15,TGQC!$H$1:$I$16,2,0)</f>
        <v>Failed</v>
      </c>
    </row>
    <row r="16" spans="1:19" x14ac:dyDescent="0.3">
      <c r="A16" s="40">
        <v>3</v>
      </c>
      <c r="B16" s="41" t="str">
        <f>'DATA ENTRY'!B28</f>
        <v>23-QC03798</v>
      </c>
      <c r="C16" s="42" t="str">
        <f>'DATA ENTRY'!C28</f>
        <v>BULUSAN, MA. CHRISTINA AVIEGAIL CABARUAN</v>
      </c>
      <c r="D16" s="43">
        <v>96</v>
      </c>
      <c r="E16" s="43">
        <v>95</v>
      </c>
      <c r="F16" s="43"/>
      <c r="G16" s="43"/>
      <c r="H16" s="43"/>
      <c r="I16" s="44">
        <f t="shared" si="0"/>
        <v>95.5</v>
      </c>
      <c r="J16" s="43" t="s">
        <v>121</v>
      </c>
      <c r="K16" s="43" t="s">
        <v>122</v>
      </c>
      <c r="L16" s="43" t="s">
        <v>122</v>
      </c>
      <c r="M16" s="43"/>
      <c r="N16" s="43"/>
      <c r="O16" s="44" t="str">
        <f t="shared" si="1"/>
        <v>0</v>
      </c>
      <c r="P16" s="43"/>
      <c r="Q16" s="45">
        <f t="shared" si="2"/>
        <v>31.833333333333332</v>
      </c>
      <c r="R16" s="40">
        <f>VLOOKUP(Q16,TGQC!$X$1:$Y$990,2)</f>
        <v>5</v>
      </c>
      <c r="S16" s="40" t="str">
        <f>VLOOKUP(R16,TGQC!$H$1:$I$16,2,0)</f>
        <v>Failed</v>
      </c>
    </row>
    <row r="17" spans="1:19" x14ac:dyDescent="0.3">
      <c r="A17" s="40">
        <v>4</v>
      </c>
      <c r="B17" s="41" t="str">
        <f>'DATA ENTRY'!B29</f>
        <v>23-QC03776</v>
      </c>
      <c r="C17" s="42" t="str">
        <f>'DATA ENTRY'!C29</f>
        <v>CAASI, SHAWN DHELRIC</v>
      </c>
      <c r="D17" s="43">
        <v>90</v>
      </c>
      <c r="E17" s="43">
        <v>100</v>
      </c>
      <c r="F17" s="43"/>
      <c r="G17" s="43"/>
      <c r="H17" s="43"/>
      <c r="I17" s="44">
        <f t="shared" si="0"/>
        <v>95</v>
      </c>
      <c r="J17" s="43" t="s">
        <v>121</v>
      </c>
      <c r="K17" s="43" t="s">
        <v>121</v>
      </c>
      <c r="L17" s="43" t="s">
        <v>121</v>
      </c>
      <c r="M17" s="43"/>
      <c r="N17" s="43"/>
      <c r="O17" s="44" t="str">
        <f t="shared" si="1"/>
        <v>0</v>
      </c>
      <c r="P17" s="43"/>
      <c r="Q17" s="45">
        <f t="shared" si="2"/>
        <v>31.666666666666668</v>
      </c>
      <c r="R17" s="40">
        <f>VLOOKUP(Q17,TGQC!$X$1:$Y$990,2)</f>
        <v>5</v>
      </c>
      <c r="S17" s="40" t="str">
        <f>VLOOKUP(R17,TGQC!$H$1:$I$16,2,0)</f>
        <v>Failed</v>
      </c>
    </row>
    <row r="18" spans="1:19" x14ac:dyDescent="0.3">
      <c r="A18" s="40">
        <v>5</v>
      </c>
      <c r="B18" s="41" t="str">
        <f>'DATA ENTRY'!B30</f>
        <v>23-QC04290</v>
      </c>
      <c r="C18" s="42" t="str">
        <f>'DATA ENTRY'!C30</f>
        <v>CATAAG, MARK LEONY BALUBAR</v>
      </c>
      <c r="D18" s="43"/>
      <c r="E18" s="43"/>
      <c r="F18" s="43"/>
      <c r="G18" s="43"/>
      <c r="H18" s="43"/>
      <c r="I18" s="44" t="str">
        <f t="shared" si="0"/>
        <v>0</v>
      </c>
      <c r="J18" s="43" t="s">
        <v>121</v>
      </c>
      <c r="K18" s="43" t="s">
        <v>121</v>
      </c>
      <c r="L18" s="43" t="s">
        <v>122</v>
      </c>
      <c r="M18" s="43"/>
      <c r="N18" s="43"/>
      <c r="O18" s="44" t="str">
        <f t="shared" si="1"/>
        <v>0</v>
      </c>
      <c r="P18" s="43"/>
      <c r="Q18" s="45">
        <f t="shared" si="2"/>
        <v>0</v>
      </c>
      <c r="R18" s="40" t="e">
        <f>VLOOKUP(Q18,TGQC!$X$1:$Y$990,2)</f>
        <v>#N/A</v>
      </c>
      <c r="S18" s="40" t="e">
        <f>VLOOKUP(R18,TGQC!$H$1:$I$16,2,0)</f>
        <v>#N/A</v>
      </c>
    </row>
    <row r="19" spans="1:19" x14ac:dyDescent="0.3">
      <c r="A19" s="40">
        <v>6</v>
      </c>
      <c r="B19" s="41" t="str">
        <f>'DATA ENTRY'!B31</f>
        <v>23-QC03565</v>
      </c>
      <c r="C19" s="42" t="str">
        <f>'DATA ENTRY'!C31</f>
        <v>CUNANAN, JASMINE MAE TIPRADO</v>
      </c>
      <c r="D19" s="43">
        <v>96</v>
      </c>
      <c r="E19" s="43">
        <v>92</v>
      </c>
      <c r="F19" s="43"/>
      <c r="G19" s="43"/>
      <c r="H19" s="43"/>
      <c r="I19" s="44">
        <f t="shared" si="0"/>
        <v>94</v>
      </c>
      <c r="J19" s="43" t="s">
        <v>121</v>
      </c>
      <c r="K19" s="43" t="s">
        <v>121</v>
      </c>
      <c r="L19" s="43" t="s">
        <v>121</v>
      </c>
      <c r="M19" s="43"/>
      <c r="N19" s="43"/>
      <c r="O19" s="44" t="str">
        <f t="shared" si="1"/>
        <v>0</v>
      </c>
      <c r="P19" s="43"/>
      <c r="Q19" s="45">
        <f t="shared" si="2"/>
        <v>31.333333333333332</v>
      </c>
      <c r="R19" s="40">
        <f>VLOOKUP(Q19,TGQC!$X$1:$Y$990,2)</f>
        <v>5</v>
      </c>
      <c r="S19" s="40" t="str">
        <f>VLOOKUP(R19,TGQC!$H$1:$I$16,2,0)</f>
        <v>Failed</v>
      </c>
    </row>
    <row r="20" spans="1:19" x14ac:dyDescent="0.3">
      <c r="A20" s="40">
        <v>7</v>
      </c>
      <c r="B20" s="41" t="str">
        <f>'DATA ENTRY'!B32</f>
        <v>23-QC04656</v>
      </c>
      <c r="C20" s="42" t="str">
        <f>'DATA ENTRY'!C32</f>
        <v>DE GUZMAN, ESPRIT DATUL</v>
      </c>
      <c r="D20" s="43"/>
      <c r="E20" s="43">
        <v>92</v>
      </c>
      <c r="F20" s="43"/>
      <c r="G20" s="43"/>
      <c r="H20" s="43"/>
      <c r="I20" s="44">
        <f t="shared" si="0"/>
        <v>92</v>
      </c>
      <c r="J20" s="43" t="s">
        <v>121</v>
      </c>
      <c r="K20" s="43" t="s">
        <v>121</v>
      </c>
      <c r="L20" s="43" t="s">
        <v>121</v>
      </c>
      <c r="M20" s="43"/>
      <c r="N20" s="43"/>
      <c r="O20" s="44" t="str">
        <f t="shared" si="1"/>
        <v>0</v>
      </c>
      <c r="P20" s="43"/>
      <c r="Q20" s="45">
        <f t="shared" si="2"/>
        <v>30.666666666666668</v>
      </c>
      <c r="R20" s="40">
        <f>VLOOKUP(Q20,TGQC!$X$1:$Y$990,2)</f>
        <v>5</v>
      </c>
      <c r="S20" s="40" t="str">
        <f>VLOOKUP(R20,TGQC!$H$1:$I$16,2,0)</f>
        <v>Failed</v>
      </c>
    </row>
    <row r="21" spans="1:19" x14ac:dyDescent="0.3">
      <c r="A21" s="40">
        <v>8</v>
      </c>
      <c r="B21" s="41" t="str">
        <f>'DATA ENTRY'!B33</f>
        <v>23-QC04262</v>
      </c>
      <c r="C21" s="42" t="str">
        <f>'DATA ENTRY'!C33</f>
        <v>DE GUZMAN, JONATHAN EARL COPRADO</v>
      </c>
      <c r="D21" s="43">
        <v>90</v>
      </c>
      <c r="E21" s="43"/>
      <c r="F21" s="43"/>
      <c r="G21" s="43"/>
      <c r="H21" s="43"/>
      <c r="I21" s="44">
        <f t="shared" si="0"/>
        <v>90</v>
      </c>
      <c r="J21" s="43" t="s">
        <v>122</v>
      </c>
      <c r="K21" s="43" t="s">
        <v>121</v>
      </c>
      <c r="L21" s="43" t="s">
        <v>121</v>
      </c>
      <c r="M21" s="43"/>
      <c r="N21" s="43"/>
      <c r="O21" s="44" t="str">
        <f t="shared" si="1"/>
        <v>0</v>
      </c>
      <c r="P21" s="43"/>
      <c r="Q21" s="45">
        <f t="shared" si="2"/>
        <v>30</v>
      </c>
      <c r="R21" s="40">
        <f>VLOOKUP(Q21,TGQC!$X$1:$Y$990,2)</f>
        <v>5</v>
      </c>
      <c r="S21" s="40" t="str">
        <f>VLOOKUP(R21,TGQC!$H$1:$I$16,2,0)</f>
        <v>Failed</v>
      </c>
    </row>
    <row r="22" spans="1:19" x14ac:dyDescent="0.3">
      <c r="A22" s="40">
        <v>9</v>
      </c>
      <c r="B22" s="41" t="str">
        <f>'DATA ENTRY'!B34</f>
        <v>23-QC02958</v>
      </c>
      <c r="C22" s="42" t="str">
        <f>'DATA ENTRY'!C34</f>
        <v>DE VEGA, DENBER REYES</v>
      </c>
      <c r="D22" s="43">
        <v>96</v>
      </c>
      <c r="E22" s="43">
        <v>90</v>
      </c>
      <c r="F22" s="43"/>
      <c r="G22" s="43"/>
      <c r="H22" s="43"/>
      <c r="I22" s="44">
        <f t="shared" si="0"/>
        <v>93</v>
      </c>
      <c r="J22" s="43" t="s">
        <v>121</v>
      </c>
      <c r="K22" s="43" t="s">
        <v>121</v>
      </c>
      <c r="L22" s="43" t="s">
        <v>122</v>
      </c>
      <c r="M22" s="43"/>
      <c r="N22" s="43"/>
      <c r="O22" s="44" t="str">
        <f t="shared" si="1"/>
        <v>0</v>
      </c>
      <c r="P22" s="43"/>
      <c r="Q22" s="45">
        <f t="shared" si="2"/>
        <v>31</v>
      </c>
      <c r="R22" s="40">
        <f>VLOOKUP(Q22,TGQC!$X$1:$Y$990,2)</f>
        <v>5</v>
      </c>
      <c r="S22" s="40" t="str">
        <f>VLOOKUP(R22,TGQC!$H$1:$I$16,2,0)</f>
        <v>Failed</v>
      </c>
    </row>
    <row r="23" spans="1:19" x14ac:dyDescent="0.3">
      <c r="A23" s="40">
        <v>10</v>
      </c>
      <c r="B23" s="41" t="str">
        <f>'DATA ENTRY'!B35</f>
        <v>23-QC02881</v>
      </c>
      <c r="C23" s="42" t="str">
        <f>'DATA ENTRY'!C35</f>
        <v>ESPIRITU, VHYNCE ARNOLD AZUL</v>
      </c>
      <c r="D23" s="43">
        <v>100</v>
      </c>
      <c r="E23" s="43">
        <v>100</v>
      </c>
      <c r="F23" s="43"/>
      <c r="G23" s="43"/>
      <c r="H23" s="43"/>
      <c r="I23" s="44">
        <f t="shared" si="0"/>
        <v>100</v>
      </c>
      <c r="J23" s="43" t="s">
        <v>121</v>
      </c>
      <c r="K23" s="43" t="s">
        <v>121</v>
      </c>
      <c r="L23" s="43" t="s">
        <v>121</v>
      </c>
      <c r="M23" s="43"/>
      <c r="N23" s="43"/>
      <c r="O23" s="44" t="str">
        <f t="shared" si="1"/>
        <v>0</v>
      </c>
      <c r="P23" s="43"/>
      <c r="Q23" s="45">
        <f t="shared" si="2"/>
        <v>33.333333333333336</v>
      </c>
      <c r="R23" s="40">
        <f>VLOOKUP(Q23,TGQC!$X$1:$Y$990,2)</f>
        <v>5</v>
      </c>
      <c r="S23" s="40" t="str">
        <f>VLOOKUP(R23,TGQC!$H$1:$I$16,2,0)</f>
        <v>Failed</v>
      </c>
    </row>
    <row r="24" spans="1:19" x14ac:dyDescent="0.3">
      <c r="A24" s="40">
        <v>11</v>
      </c>
      <c r="B24" s="41" t="str">
        <f>'DATA ENTRY'!B36</f>
        <v>23-QC02960</v>
      </c>
      <c r="C24" s="42" t="str">
        <f>'DATA ENTRY'!C36</f>
        <v>GADIER, JOHN ENRICK ROBERTO</v>
      </c>
      <c r="D24" s="43"/>
      <c r="E24" s="43">
        <v>90</v>
      </c>
      <c r="F24" s="43"/>
      <c r="G24" s="43"/>
      <c r="H24" s="43"/>
      <c r="I24" s="44">
        <f t="shared" si="0"/>
        <v>90</v>
      </c>
      <c r="J24" s="43" t="s">
        <v>125</v>
      </c>
      <c r="K24" s="43" t="s">
        <v>121</v>
      </c>
      <c r="L24" s="43" t="s">
        <v>121</v>
      </c>
      <c r="M24" s="43"/>
      <c r="N24" s="43"/>
      <c r="O24" s="44" t="str">
        <f t="shared" si="1"/>
        <v>0</v>
      </c>
      <c r="P24" s="43"/>
      <c r="Q24" s="45">
        <f t="shared" si="2"/>
        <v>30</v>
      </c>
      <c r="R24" s="40">
        <f>VLOOKUP(Q24,TGQC!$X$1:$Y$990,2)</f>
        <v>5</v>
      </c>
      <c r="S24" s="40" t="str">
        <f>VLOOKUP(R24,TGQC!$H$1:$I$16,2,0)</f>
        <v>Failed</v>
      </c>
    </row>
    <row r="25" spans="1:19" x14ac:dyDescent="0.3">
      <c r="A25" s="40">
        <v>12</v>
      </c>
      <c r="B25" s="41" t="str">
        <f>'DATA ENTRY'!B37</f>
        <v>23-QC04082</v>
      </c>
      <c r="C25" s="42" t="str">
        <f>'DATA ENTRY'!C37</f>
        <v>GROSPE, KC SALGADO</v>
      </c>
      <c r="D25" s="43"/>
      <c r="E25" s="43">
        <v>93</v>
      </c>
      <c r="F25" s="43"/>
      <c r="G25" s="43"/>
      <c r="H25" s="43"/>
      <c r="I25" s="44">
        <f t="shared" si="0"/>
        <v>93</v>
      </c>
      <c r="J25" s="43" t="s">
        <v>122</v>
      </c>
      <c r="K25" s="43" t="s">
        <v>122</v>
      </c>
      <c r="L25" s="43" t="s">
        <v>122</v>
      </c>
      <c r="M25" s="43"/>
      <c r="N25" s="43"/>
      <c r="O25" s="44" t="str">
        <f t="shared" si="1"/>
        <v>0</v>
      </c>
      <c r="P25" s="43"/>
      <c r="Q25" s="45">
        <f t="shared" si="2"/>
        <v>31</v>
      </c>
      <c r="R25" s="40">
        <f>VLOOKUP(Q25,TGQC!$X$1:$Y$990,2)</f>
        <v>5</v>
      </c>
      <c r="S25" s="40" t="str">
        <f>VLOOKUP(R25,TGQC!$H$1:$I$16,2,0)</f>
        <v>Failed</v>
      </c>
    </row>
    <row r="26" spans="1:19" x14ac:dyDescent="0.3">
      <c r="A26" s="40">
        <v>13</v>
      </c>
      <c r="B26" s="41" t="str">
        <f>'DATA ENTRY'!B38</f>
        <v>23-QC04267</v>
      </c>
      <c r="C26" s="42" t="str">
        <f>'DATA ENTRY'!C38</f>
        <v>IGNACIO, RENIEL ELIZALDE RAMOS</v>
      </c>
      <c r="D26" s="43"/>
      <c r="E26" s="43">
        <v>95</v>
      </c>
      <c r="F26" s="43"/>
      <c r="G26" s="43"/>
      <c r="H26" s="43"/>
      <c r="I26" s="44">
        <f t="shared" si="0"/>
        <v>95</v>
      </c>
      <c r="J26" s="43" t="s">
        <v>121</v>
      </c>
      <c r="K26" s="43" t="s">
        <v>121</v>
      </c>
      <c r="L26" s="43" t="s">
        <v>121</v>
      </c>
      <c r="M26" s="43"/>
      <c r="N26" s="43"/>
      <c r="O26" s="44" t="str">
        <f t="shared" si="1"/>
        <v>0</v>
      </c>
      <c r="P26" s="43"/>
      <c r="Q26" s="45">
        <f t="shared" si="2"/>
        <v>31.666666666666668</v>
      </c>
      <c r="R26" s="40">
        <f>VLOOKUP(Q26,TGQC!$X$1:$Y$990,2)</f>
        <v>5</v>
      </c>
      <c r="S26" s="40" t="str">
        <f>VLOOKUP(R26,TGQC!$H$1:$I$16,2,0)</f>
        <v>Failed</v>
      </c>
    </row>
    <row r="27" spans="1:19" x14ac:dyDescent="0.3">
      <c r="A27" s="40">
        <v>14</v>
      </c>
      <c r="B27" s="41" t="str">
        <f>'DATA ENTRY'!B39</f>
        <v>23-QC04131</v>
      </c>
      <c r="C27" s="42" t="str">
        <f>'DATA ENTRY'!C39</f>
        <v>KIM, TSUYOSHI C</v>
      </c>
      <c r="D27" s="43"/>
      <c r="E27" s="43"/>
      <c r="F27" s="43"/>
      <c r="G27" s="43"/>
      <c r="H27" s="43"/>
      <c r="I27" s="44" t="str">
        <f t="shared" si="0"/>
        <v>0</v>
      </c>
      <c r="J27" s="43" t="s">
        <v>121</v>
      </c>
      <c r="K27" s="43" t="s">
        <v>122</v>
      </c>
      <c r="L27" s="43" t="s">
        <v>122</v>
      </c>
      <c r="M27" s="43"/>
      <c r="N27" s="43"/>
      <c r="O27" s="44" t="str">
        <f t="shared" si="1"/>
        <v>0</v>
      </c>
      <c r="P27" s="43"/>
      <c r="Q27" s="45">
        <f t="shared" si="2"/>
        <v>0</v>
      </c>
      <c r="R27" s="40" t="e">
        <f>VLOOKUP(Q27,TGQC!$X$1:$Y$990,2)</f>
        <v>#N/A</v>
      </c>
      <c r="S27" s="40" t="e">
        <f>VLOOKUP(R27,TGQC!$H$1:$I$16,2,0)</f>
        <v>#N/A</v>
      </c>
    </row>
    <row r="28" spans="1:19" x14ac:dyDescent="0.3">
      <c r="A28" s="40">
        <v>15</v>
      </c>
      <c r="B28" s="41" t="str">
        <f>'DATA ENTRY'!B40</f>
        <v>23-QC03556</v>
      </c>
      <c r="C28" s="42" t="str">
        <f>'DATA ENTRY'!C40</f>
        <v>LACEDA, JANN EIRRON PATACSIL</v>
      </c>
      <c r="D28" s="43">
        <v>90</v>
      </c>
      <c r="E28" s="43">
        <v>95</v>
      </c>
      <c r="F28" s="43"/>
      <c r="G28" s="43"/>
      <c r="H28" s="43"/>
      <c r="I28" s="44">
        <f t="shared" si="0"/>
        <v>92.5</v>
      </c>
      <c r="J28" s="43" t="s">
        <v>121</v>
      </c>
      <c r="K28" s="43" t="s">
        <v>121</v>
      </c>
      <c r="L28" s="43" t="s">
        <v>125</v>
      </c>
      <c r="M28" s="43"/>
      <c r="N28" s="43"/>
      <c r="O28" s="44" t="str">
        <f t="shared" si="1"/>
        <v>0</v>
      </c>
      <c r="P28" s="43"/>
      <c r="Q28" s="45">
        <f t="shared" si="2"/>
        <v>30.833333333333332</v>
      </c>
      <c r="R28" s="40">
        <f>VLOOKUP(Q28,TGQC!$X$1:$Y$990,2)</f>
        <v>5</v>
      </c>
      <c r="S28" s="40" t="str">
        <f>VLOOKUP(R28,TGQC!$H$1:$I$16,2,0)</f>
        <v>Failed</v>
      </c>
    </row>
    <row r="29" spans="1:19" x14ac:dyDescent="0.3">
      <c r="A29" s="40">
        <v>16</v>
      </c>
      <c r="B29" s="41" t="str">
        <f>'DATA ENTRY'!B41</f>
        <v>23-QC03532</v>
      </c>
      <c r="C29" s="42" t="str">
        <f>'DATA ENTRY'!C41</f>
        <v>LEGASPI, JOSHUA MONATO</v>
      </c>
      <c r="D29" s="43">
        <v>89</v>
      </c>
      <c r="E29" s="43">
        <v>93</v>
      </c>
      <c r="F29" s="43"/>
      <c r="G29" s="43"/>
      <c r="H29" s="43"/>
      <c r="I29" s="44">
        <f t="shared" si="0"/>
        <v>91</v>
      </c>
      <c r="J29" s="43" t="s">
        <v>121</v>
      </c>
      <c r="K29" s="43" t="s">
        <v>121</v>
      </c>
      <c r="L29" s="43" t="s">
        <v>121</v>
      </c>
      <c r="M29" s="43"/>
      <c r="N29" s="43"/>
      <c r="O29" s="44" t="str">
        <f t="shared" si="1"/>
        <v>0</v>
      </c>
      <c r="P29" s="43"/>
      <c r="Q29" s="45">
        <f t="shared" si="2"/>
        <v>30.333333333333332</v>
      </c>
      <c r="R29" s="40">
        <f>VLOOKUP(Q29,TGQC!$X$1:$Y$990,2)</f>
        <v>5</v>
      </c>
      <c r="S29" s="40" t="str">
        <f>VLOOKUP(R29,TGQC!$H$1:$I$16,2,0)</f>
        <v>Failed</v>
      </c>
    </row>
    <row r="30" spans="1:19" x14ac:dyDescent="0.3">
      <c r="A30" s="40">
        <v>17</v>
      </c>
      <c r="B30" s="41" t="str">
        <f>'DATA ENTRY'!B42</f>
        <v>23-QC03140</v>
      </c>
      <c r="C30" s="42" t="str">
        <f>'DATA ENTRY'!C42</f>
        <v>LIM, DOMINIC MARTIN COSCULLA</v>
      </c>
      <c r="D30" s="43">
        <v>94</v>
      </c>
      <c r="E30" s="43">
        <v>95</v>
      </c>
      <c r="F30" s="43"/>
      <c r="G30" s="43"/>
      <c r="H30" s="43"/>
      <c r="I30" s="44">
        <f t="shared" si="0"/>
        <v>94.5</v>
      </c>
      <c r="J30" s="43" t="s">
        <v>121</v>
      </c>
      <c r="K30" s="43" t="s">
        <v>121</v>
      </c>
      <c r="L30" s="43" t="s">
        <v>125</v>
      </c>
      <c r="M30" s="43"/>
      <c r="N30" s="43"/>
      <c r="O30" s="44" t="str">
        <f t="shared" si="1"/>
        <v>0</v>
      </c>
      <c r="P30" s="43"/>
      <c r="Q30" s="45">
        <f t="shared" si="2"/>
        <v>31.5</v>
      </c>
      <c r="R30" s="40">
        <f>VLOOKUP(Q30,TGQC!$X$1:$Y$990,2)</f>
        <v>5</v>
      </c>
      <c r="S30" s="40" t="str">
        <f>VLOOKUP(R30,TGQC!$H$1:$I$16,2,0)</f>
        <v>Failed</v>
      </c>
    </row>
    <row r="31" spans="1:19" x14ac:dyDescent="0.3">
      <c r="A31" s="40">
        <v>18</v>
      </c>
      <c r="B31" s="41" t="str">
        <f>'DATA ENTRY'!B43</f>
        <v>23-QC03808</v>
      </c>
      <c r="C31" s="42" t="str">
        <f>'DATA ENTRY'!C43</f>
        <v>LUPAZ, TEDDY BOY LOZANO</v>
      </c>
      <c r="D31" s="43">
        <v>96</v>
      </c>
      <c r="E31" s="43">
        <v>95</v>
      </c>
      <c r="F31" s="43"/>
      <c r="G31" s="43"/>
      <c r="H31" s="43"/>
      <c r="I31" s="44">
        <f t="shared" si="0"/>
        <v>95.5</v>
      </c>
      <c r="J31" s="43" t="s">
        <v>121</v>
      </c>
      <c r="K31" s="43" t="s">
        <v>121</v>
      </c>
      <c r="L31" s="43" t="s">
        <v>121</v>
      </c>
      <c r="M31" s="43"/>
      <c r="N31" s="43"/>
      <c r="O31" s="44" t="str">
        <f t="shared" si="1"/>
        <v>0</v>
      </c>
      <c r="P31" s="43"/>
      <c r="Q31" s="45">
        <f t="shared" si="2"/>
        <v>31.833333333333332</v>
      </c>
      <c r="R31" s="40">
        <f>VLOOKUP(Q31,TGQC!$X$1:$Y$990,2)</f>
        <v>5</v>
      </c>
      <c r="S31" s="40" t="str">
        <f>VLOOKUP(R31,TGQC!$H$1:$I$16,2,0)</f>
        <v>Failed</v>
      </c>
    </row>
    <row r="32" spans="1:19" x14ac:dyDescent="0.3">
      <c r="A32" s="40">
        <v>19</v>
      </c>
      <c r="B32" s="41" t="str">
        <f>'DATA ENTRY'!B44</f>
        <v>22-QC01720</v>
      </c>
      <c r="C32" s="42" t="str">
        <f>'DATA ENTRY'!C44</f>
        <v>MALICSI, RALPH MESONGCO</v>
      </c>
      <c r="D32" s="43">
        <v>90</v>
      </c>
      <c r="E32" s="43">
        <v>95</v>
      </c>
      <c r="F32" s="43"/>
      <c r="G32" s="43"/>
      <c r="H32" s="43"/>
      <c r="I32" s="44">
        <f t="shared" si="0"/>
        <v>92.5</v>
      </c>
      <c r="J32" s="43" t="s">
        <v>121</v>
      </c>
      <c r="K32" s="43" t="s">
        <v>121</v>
      </c>
      <c r="L32" s="43" t="s">
        <v>121</v>
      </c>
      <c r="M32" s="43"/>
      <c r="N32" s="43"/>
      <c r="O32" s="44" t="str">
        <f t="shared" si="1"/>
        <v>0</v>
      </c>
      <c r="P32" s="43"/>
      <c r="Q32" s="45">
        <f t="shared" si="2"/>
        <v>30.833333333333332</v>
      </c>
      <c r="R32" s="40">
        <f>VLOOKUP(Q32,TGQC!$X$1:$Y$990,2)</f>
        <v>5</v>
      </c>
      <c r="S32" s="40" t="str">
        <f>VLOOKUP(R32,TGQC!$H$1:$I$16,2,0)</f>
        <v>Failed</v>
      </c>
    </row>
    <row r="33" spans="1:19" x14ac:dyDescent="0.3">
      <c r="A33" s="40">
        <v>20</v>
      </c>
      <c r="B33" s="41" t="str">
        <f>'DATA ENTRY'!B45</f>
        <v>23-QC04505</v>
      </c>
      <c r="C33" s="42" t="str">
        <f>'DATA ENTRY'!C45</f>
        <v>MATIC, ROIZ FRANCIS JAMAHALI</v>
      </c>
      <c r="D33" s="43"/>
      <c r="E33" s="43">
        <v>85</v>
      </c>
      <c r="F33" s="43"/>
      <c r="G33" s="43"/>
      <c r="H33" s="43"/>
      <c r="I33" s="44">
        <f t="shared" si="0"/>
        <v>85</v>
      </c>
      <c r="J33" s="43" t="s">
        <v>121</v>
      </c>
      <c r="K33" s="43" t="s">
        <v>122</v>
      </c>
      <c r="L33" s="43" t="s">
        <v>122</v>
      </c>
      <c r="M33" s="43"/>
      <c r="N33" s="43"/>
      <c r="O33" s="44" t="str">
        <f t="shared" si="1"/>
        <v>0</v>
      </c>
      <c r="P33" s="43"/>
      <c r="Q33" s="45">
        <f t="shared" si="2"/>
        <v>28.333333333333332</v>
      </c>
      <c r="R33" s="40">
        <f>VLOOKUP(Q33,TGQC!$X$1:$Y$990,2)</f>
        <v>5</v>
      </c>
      <c r="S33" s="40" t="str">
        <f>VLOOKUP(R33,TGQC!$H$1:$I$16,2,0)</f>
        <v>Failed</v>
      </c>
    </row>
    <row r="34" spans="1:19" x14ac:dyDescent="0.3">
      <c r="A34" s="40">
        <v>21</v>
      </c>
      <c r="B34" s="41" t="str">
        <f>'DATA ENTRY'!B46</f>
        <v>23-QC04146</v>
      </c>
      <c r="C34" s="42" t="str">
        <f>'DATA ENTRY'!C46</f>
        <v>PAGUILA, CALEB LAMUEL SANGALANG</v>
      </c>
      <c r="D34" s="43">
        <v>89</v>
      </c>
      <c r="E34" s="43">
        <v>90</v>
      </c>
      <c r="F34" s="43"/>
      <c r="G34" s="43"/>
      <c r="H34" s="43"/>
      <c r="I34" s="44">
        <f t="shared" si="0"/>
        <v>89.5</v>
      </c>
      <c r="J34" s="43" t="s">
        <v>121</v>
      </c>
      <c r="K34" s="43" t="s">
        <v>121</v>
      </c>
      <c r="L34" s="43" t="s">
        <v>121</v>
      </c>
      <c r="M34" s="43"/>
      <c r="N34" s="43"/>
      <c r="O34" s="44" t="str">
        <f t="shared" si="1"/>
        <v>0</v>
      </c>
      <c r="P34" s="43"/>
      <c r="Q34" s="45">
        <f t="shared" si="2"/>
        <v>29.833333333333332</v>
      </c>
      <c r="R34" s="40">
        <f>VLOOKUP(Q34,TGQC!$X$1:$Y$990,2)</f>
        <v>5</v>
      </c>
      <c r="S34" s="40" t="str">
        <f>VLOOKUP(R34,TGQC!$H$1:$I$16,2,0)</f>
        <v>Failed</v>
      </c>
    </row>
    <row r="35" spans="1:19" x14ac:dyDescent="0.3">
      <c r="A35" s="40">
        <v>22</v>
      </c>
      <c r="B35" s="41" t="str">
        <f>'DATA ENTRY'!B47</f>
        <v>23-QC03088</v>
      </c>
      <c r="C35" s="42" t="str">
        <f>'DATA ENTRY'!C47</f>
        <v>PUZON, JOZIAH AZRIEL NIETES</v>
      </c>
      <c r="D35" s="43">
        <v>100</v>
      </c>
      <c r="E35" s="43">
        <v>95</v>
      </c>
      <c r="F35" s="43"/>
      <c r="G35" s="43"/>
      <c r="H35" s="43"/>
      <c r="I35" s="44">
        <f t="shared" si="0"/>
        <v>97.5</v>
      </c>
      <c r="J35" s="43" t="s">
        <v>121</v>
      </c>
      <c r="K35" s="43" t="s">
        <v>121</v>
      </c>
      <c r="L35" s="43" t="s">
        <v>121</v>
      </c>
      <c r="M35" s="43"/>
      <c r="N35" s="43"/>
      <c r="O35" s="44" t="str">
        <f t="shared" si="1"/>
        <v>0</v>
      </c>
      <c r="P35" s="43"/>
      <c r="Q35" s="45">
        <f t="shared" si="2"/>
        <v>32.5</v>
      </c>
      <c r="R35" s="40">
        <f>VLOOKUP(Q35,TGQC!$X$1:$Y$990,2)</f>
        <v>5</v>
      </c>
      <c r="S35" s="40" t="str">
        <f>VLOOKUP(R35,TGQC!$H$1:$I$16,2,0)</f>
        <v>Failed</v>
      </c>
    </row>
    <row r="36" spans="1:19" x14ac:dyDescent="0.3">
      <c r="A36" s="40">
        <v>23</v>
      </c>
      <c r="B36" s="41" t="str">
        <f>'DATA ENTRY'!B48</f>
        <v>23-QC04663</v>
      </c>
      <c r="C36" s="42" t="str">
        <f>'DATA ENTRY'!C48</f>
        <v>REBOQUIO, MARC DANIEL YU</v>
      </c>
      <c r="D36" s="43">
        <v>100</v>
      </c>
      <c r="E36" s="43">
        <v>90</v>
      </c>
      <c r="F36" s="43"/>
      <c r="G36" s="43"/>
      <c r="H36" s="43"/>
      <c r="I36" s="44">
        <f t="shared" si="0"/>
        <v>95</v>
      </c>
      <c r="J36" s="43" t="s">
        <v>121</v>
      </c>
      <c r="K36" s="43" t="s">
        <v>122</v>
      </c>
      <c r="L36" s="43" t="s">
        <v>125</v>
      </c>
      <c r="M36" s="43"/>
      <c r="N36" s="43"/>
      <c r="O36" s="44" t="str">
        <f t="shared" si="1"/>
        <v>0</v>
      </c>
      <c r="P36" s="43"/>
      <c r="Q36" s="45">
        <f t="shared" si="2"/>
        <v>31.666666666666668</v>
      </c>
      <c r="R36" s="40">
        <f>VLOOKUP(Q36,TGQC!$X$1:$Y$990,2)</f>
        <v>5</v>
      </c>
      <c r="S36" s="40" t="str">
        <f>VLOOKUP(R36,TGQC!$H$1:$I$16,2,0)</f>
        <v>Failed</v>
      </c>
    </row>
    <row r="37" spans="1:19" x14ac:dyDescent="0.3">
      <c r="A37" s="40">
        <v>24</v>
      </c>
      <c r="B37" s="41" t="str">
        <f>'DATA ENTRY'!B49</f>
        <v>24-QC14846</v>
      </c>
      <c r="C37" s="42" t="str">
        <f>'DATA ENTRY'!C49</f>
        <v>ROA, MONIQUE GARCES</v>
      </c>
      <c r="D37" s="43"/>
      <c r="E37" s="43">
        <v>88</v>
      </c>
      <c r="F37" s="43"/>
      <c r="G37" s="43"/>
      <c r="H37" s="43"/>
      <c r="I37" s="44">
        <f t="shared" si="0"/>
        <v>88</v>
      </c>
      <c r="J37" s="62" t="s">
        <v>121</v>
      </c>
      <c r="K37" s="62" t="s">
        <v>121</v>
      </c>
      <c r="L37" s="43" t="s">
        <v>121</v>
      </c>
      <c r="M37" s="43"/>
      <c r="N37" s="43"/>
      <c r="O37" s="44" t="str">
        <f t="shared" si="1"/>
        <v>0</v>
      </c>
      <c r="P37" s="43"/>
      <c r="Q37" s="45">
        <f t="shared" si="2"/>
        <v>29.333333333333332</v>
      </c>
      <c r="R37" s="40">
        <f>VLOOKUP(Q37,TGQC!$X$1:$Y$990,2)</f>
        <v>5</v>
      </c>
      <c r="S37" s="40" t="str">
        <f>VLOOKUP(R37,TGQC!$H$1:$I$16,2,0)</f>
        <v>Failed</v>
      </c>
    </row>
    <row r="38" spans="1:19" x14ac:dyDescent="0.3">
      <c r="A38" s="40">
        <v>25</v>
      </c>
      <c r="B38" s="41" t="str">
        <f>'DATA ENTRY'!B50</f>
        <v>23-QC03931</v>
      </c>
      <c r="C38" s="42" t="str">
        <f>'DATA ENTRY'!C50</f>
        <v>SANCHEZ, GODWIN BAUTISTA</v>
      </c>
      <c r="D38" s="43">
        <v>90</v>
      </c>
      <c r="E38" s="43">
        <v>97</v>
      </c>
      <c r="F38" s="43"/>
      <c r="G38" s="43"/>
      <c r="H38" s="43"/>
      <c r="I38" s="44">
        <f t="shared" si="0"/>
        <v>93.5</v>
      </c>
      <c r="J38" s="43" t="s">
        <v>121</v>
      </c>
      <c r="K38" s="43" t="s">
        <v>125</v>
      </c>
      <c r="L38" s="43" t="s">
        <v>121</v>
      </c>
      <c r="M38" s="43"/>
      <c r="N38" s="43"/>
      <c r="O38" s="44" t="str">
        <f t="shared" si="1"/>
        <v>0</v>
      </c>
      <c r="P38" s="43"/>
      <c r="Q38" s="45">
        <f t="shared" si="2"/>
        <v>31.166666666666668</v>
      </c>
      <c r="R38" s="40">
        <f>VLOOKUP(Q38,TGQC!$X$1:$Y$990,2)</f>
        <v>5</v>
      </c>
      <c r="S38" s="40" t="str">
        <f>VLOOKUP(R38,TGQC!$H$1:$I$16,2,0)</f>
        <v>Failed</v>
      </c>
    </row>
    <row r="39" spans="1:19" x14ac:dyDescent="0.3">
      <c r="A39" s="40">
        <v>26</v>
      </c>
      <c r="B39" s="41" t="str">
        <f>'DATA ENTRY'!B51</f>
        <v>23-QC03869</v>
      </c>
      <c r="C39" s="42" t="str">
        <f>'DATA ENTRY'!C51</f>
        <v>SANCHEZ, ZANDER CEDRIC</v>
      </c>
      <c r="D39" s="43"/>
      <c r="E39" s="43">
        <v>93</v>
      </c>
      <c r="F39" s="43"/>
      <c r="G39" s="43"/>
      <c r="H39" s="43"/>
      <c r="I39" s="44">
        <f t="shared" si="0"/>
        <v>93</v>
      </c>
      <c r="J39" s="43" t="s">
        <v>121</v>
      </c>
      <c r="K39" s="43" t="s">
        <v>122</v>
      </c>
      <c r="L39" s="43" t="s">
        <v>121</v>
      </c>
      <c r="M39" s="43"/>
      <c r="N39" s="43"/>
      <c r="O39" s="44" t="str">
        <f t="shared" si="1"/>
        <v>0</v>
      </c>
      <c r="P39" s="43"/>
      <c r="Q39" s="45">
        <f t="shared" si="2"/>
        <v>31</v>
      </c>
      <c r="R39" s="40">
        <f>VLOOKUP(Q39,TGQC!$X$1:$Y$990,2)</f>
        <v>5</v>
      </c>
      <c r="S39" s="40" t="str">
        <f>VLOOKUP(R39,TGQC!$H$1:$I$16,2,0)</f>
        <v>Failed</v>
      </c>
    </row>
    <row r="40" spans="1:19" x14ac:dyDescent="0.3">
      <c r="A40" s="40">
        <v>27</v>
      </c>
      <c r="B40" s="41" t="str">
        <f>'DATA ENTRY'!B52</f>
        <v>23-QC04693</v>
      </c>
      <c r="C40" s="42" t="str">
        <f>'DATA ENTRY'!C52</f>
        <v>SANTOS, CASEY ANN NONOSO</v>
      </c>
      <c r="D40" s="43">
        <v>100</v>
      </c>
      <c r="E40" s="43">
        <v>100</v>
      </c>
      <c r="F40" s="43"/>
      <c r="G40" s="43"/>
      <c r="H40" s="43"/>
      <c r="I40" s="44">
        <f t="shared" si="0"/>
        <v>100</v>
      </c>
      <c r="J40" s="43" t="s">
        <v>121</v>
      </c>
      <c r="K40" s="43" t="s">
        <v>121</v>
      </c>
      <c r="L40" s="43" t="s">
        <v>121</v>
      </c>
      <c r="M40" s="43"/>
      <c r="N40" s="43"/>
      <c r="O40" s="44" t="str">
        <f t="shared" si="1"/>
        <v>0</v>
      </c>
      <c r="P40" s="43"/>
      <c r="Q40" s="45">
        <f t="shared" si="2"/>
        <v>33.333333333333336</v>
      </c>
      <c r="R40" s="40">
        <f>VLOOKUP(Q40,TGQC!$X$1:$Y$990,2)</f>
        <v>5</v>
      </c>
      <c r="S40" s="40" t="str">
        <f>VLOOKUP(R40,TGQC!$H$1:$I$16,2,0)</f>
        <v>Failed</v>
      </c>
    </row>
    <row r="41" spans="1:19" x14ac:dyDescent="0.3">
      <c r="A41" s="40">
        <v>28</v>
      </c>
      <c r="B41" s="41" t="str">
        <f>'DATA ENTRY'!B53</f>
        <v>23-QC04799</v>
      </c>
      <c r="C41" s="42" t="str">
        <f>'DATA ENTRY'!C53</f>
        <v>SILVA, COLE KENNETH BARONA</v>
      </c>
      <c r="D41" s="43">
        <v>93</v>
      </c>
      <c r="E41" s="43">
        <v>95</v>
      </c>
      <c r="F41" s="43"/>
      <c r="G41" s="43"/>
      <c r="H41" s="43"/>
      <c r="I41" s="44">
        <f t="shared" si="0"/>
        <v>94</v>
      </c>
      <c r="J41" s="43" t="s">
        <v>121</v>
      </c>
      <c r="K41" s="43" t="s">
        <v>121</v>
      </c>
      <c r="L41" s="43" t="s">
        <v>121</v>
      </c>
      <c r="M41" s="43"/>
      <c r="N41" s="43"/>
      <c r="O41" s="44" t="str">
        <f>IFERROR(AVERAGE(J41:N41),"0")</f>
        <v>0</v>
      </c>
      <c r="P41" s="43"/>
      <c r="Q41" s="45">
        <f t="shared" si="2"/>
        <v>31.333333333333332</v>
      </c>
      <c r="R41" s="40">
        <f>VLOOKUP(Q41,TGQC!$X$1:$Y$990,2)</f>
        <v>5</v>
      </c>
      <c r="S41" s="40" t="str">
        <f>VLOOKUP(R41,TGQC!$H$1:$I$16,2,0)</f>
        <v>Failed</v>
      </c>
    </row>
    <row r="42" spans="1:19" x14ac:dyDescent="0.3">
      <c r="A42" s="40">
        <v>29</v>
      </c>
      <c r="B42" s="41" t="str">
        <f>'DATA ENTRY'!B54</f>
        <v>24-QC13520</v>
      </c>
      <c r="C42" s="42" t="str">
        <f>'DATA ENTRY'!C54</f>
        <v>TAN, CHRISJAN GABRIEL SAGARIO</v>
      </c>
      <c r="D42" s="43">
        <v>93</v>
      </c>
      <c r="E42" s="43">
        <v>95</v>
      </c>
      <c r="F42" s="43"/>
      <c r="G42" s="43"/>
      <c r="H42" s="43"/>
      <c r="I42" s="44">
        <f t="shared" si="0"/>
        <v>94</v>
      </c>
      <c r="J42" s="43" t="s">
        <v>121</v>
      </c>
      <c r="K42" s="43" t="s">
        <v>121</v>
      </c>
      <c r="L42" s="43" t="s">
        <v>121</v>
      </c>
      <c r="M42" s="43"/>
      <c r="N42" s="43"/>
      <c r="O42" s="44" t="str">
        <f t="shared" si="1"/>
        <v>0</v>
      </c>
      <c r="P42" s="43"/>
      <c r="Q42" s="45">
        <f t="shared" si="2"/>
        <v>31.333333333333332</v>
      </c>
      <c r="R42" s="40">
        <f>VLOOKUP(Q42,TGQC!$X$1:$Y$990,2)</f>
        <v>5</v>
      </c>
      <c r="S42" s="40" t="str">
        <f>VLOOKUP(R42,TGQC!$H$1:$I$16,2,0)</f>
        <v>Failed</v>
      </c>
    </row>
    <row r="43" spans="1:19" x14ac:dyDescent="0.3">
      <c r="A43" s="40">
        <v>30</v>
      </c>
      <c r="B43" s="41" t="str">
        <f>'DATA ENTRY'!B55</f>
        <v>23-QC03657</v>
      </c>
      <c r="C43" s="42" t="str">
        <f>'DATA ENTRY'!C55</f>
        <v>TEMPORAL, O’NIELEXUS FLORES</v>
      </c>
      <c r="D43" s="43">
        <v>88</v>
      </c>
      <c r="E43" s="43">
        <v>93</v>
      </c>
      <c r="F43" s="43"/>
      <c r="G43" s="43"/>
      <c r="H43" s="43"/>
      <c r="I43" s="44">
        <f t="shared" si="0"/>
        <v>90.5</v>
      </c>
      <c r="J43" s="43" t="s">
        <v>121</v>
      </c>
      <c r="K43" s="43" t="s">
        <v>121</v>
      </c>
      <c r="L43" s="43" t="s">
        <v>122</v>
      </c>
      <c r="M43" s="43"/>
      <c r="N43" s="43"/>
      <c r="O43" s="44" t="str">
        <f t="shared" si="1"/>
        <v>0</v>
      </c>
      <c r="P43" s="43"/>
      <c r="Q43" s="45">
        <f t="shared" si="2"/>
        <v>30.166666666666668</v>
      </c>
      <c r="R43" s="40">
        <f>VLOOKUP(Q43,TGQC!$X$1:$Y$990,2)</f>
        <v>5</v>
      </c>
      <c r="S43" s="40" t="str">
        <f>VLOOKUP(R43,TGQC!$H$1:$I$16,2,0)</f>
        <v>Failed</v>
      </c>
    </row>
    <row r="44" spans="1:19" x14ac:dyDescent="0.3">
      <c r="A44" s="40">
        <v>31</v>
      </c>
      <c r="B44" s="41" t="str">
        <f>'DATA ENTRY'!B56</f>
        <v>23-QC04979</v>
      </c>
      <c r="C44" s="42" t="str">
        <f>'DATA ENTRY'!C56</f>
        <v>TULA, MALIC ANGCAS</v>
      </c>
      <c r="D44" s="43">
        <v>93</v>
      </c>
      <c r="E44" s="43">
        <v>89</v>
      </c>
      <c r="F44" s="43"/>
      <c r="G44" s="43"/>
      <c r="H44" s="43"/>
      <c r="I44" s="44">
        <f t="shared" si="0"/>
        <v>91</v>
      </c>
      <c r="J44" s="43" t="s">
        <v>121</v>
      </c>
      <c r="K44" s="43" t="s">
        <v>122</v>
      </c>
      <c r="L44" s="43" t="s">
        <v>122</v>
      </c>
      <c r="M44" s="43"/>
      <c r="N44" s="43"/>
      <c r="O44" s="44" t="str">
        <f t="shared" si="1"/>
        <v>0</v>
      </c>
      <c r="P44" s="43"/>
      <c r="Q44" s="45">
        <f t="shared" si="2"/>
        <v>30.333333333333332</v>
      </c>
      <c r="R44" s="40">
        <f>VLOOKUP(Q44,TGQC!$X$1:$Y$990,2)</f>
        <v>5</v>
      </c>
      <c r="S44" s="40" t="str">
        <f>VLOOKUP(R44,TGQC!$H$1:$I$16,2,0)</f>
        <v>Failed</v>
      </c>
    </row>
    <row r="45" spans="1:19" x14ac:dyDescent="0.3">
      <c r="A45" s="40">
        <v>32</v>
      </c>
      <c r="B45" s="41" t="str">
        <f>'DATA ENTRY'!B57</f>
        <v>23-QC04448</v>
      </c>
      <c r="C45" s="42" t="str">
        <f>'DATA ENTRY'!C57</f>
        <v>VALDEZ, MA. DANNIELLE LOUIESSE</v>
      </c>
      <c r="D45" s="43"/>
      <c r="E45" s="43"/>
      <c r="F45" s="43"/>
      <c r="G45" s="43"/>
      <c r="H45" s="43"/>
      <c r="I45" s="44" t="str">
        <f t="shared" si="0"/>
        <v>0</v>
      </c>
      <c r="J45" s="43" t="s">
        <v>122</v>
      </c>
      <c r="K45" s="43" t="s">
        <v>122</v>
      </c>
      <c r="L45" s="43" t="s">
        <v>122</v>
      </c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e">
        <f>VLOOKUP(Q45,TGQC!$X$1:$Y$990,2)</f>
        <v>#N/A</v>
      </c>
      <c r="S45" s="40" t="e">
        <f>VLOOKUP(R45,TGQC!$H$1:$I$16,2,0)</f>
        <v>#N/A</v>
      </c>
    </row>
    <row r="46" spans="1:19" x14ac:dyDescent="0.3">
      <c r="A46" s="40">
        <v>33</v>
      </c>
      <c r="B46" s="41">
        <f>'DATA ENTRY'!B58</f>
        <v>0</v>
      </c>
      <c r="C46" s="42" t="str">
        <f>'DATA ENTRY'!C58</f>
        <v>hernandez</v>
      </c>
      <c r="D46" s="43">
        <v>93</v>
      </c>
      <c r="E46" s="43">
        <v>95</v>
      </c>
      <c r="F46" s="43"/>
      <c r="G46" s="43"/>
      <c r="H46" s="43"/>
      <c r="I46" s="44">
        <f t="shared" si="0"/>
        <v>94</v>
      </c>
      <c r="J46" s="43"/>
      <c r="K46" s="43"/>
      <c r="L46" s="43" t="s">
        <v>189</v>
      </c>
      <c r="M46" s="43"/>
      <c r="N46" s="43"/>
      <c r="O46" s="44" t="str">
        <f t="shared" si="1"/>
        <v>0</v>
      </c>
      <c r="P46" s="43"/>
      <c r="Q46" s="45">
        <f t="shared" si="2"/>
        <v>31.333333333333332</v>
      </c>
      <c r="R46" s="40">
        <f>VLOOKUP(Q46,TGQC!$X$1:$Y$990,2)</f>
        <v>5</v>
      </c>
      <c r="S46" s="40" t="str">
        <f>VLOOKUP(R46,TGQC!$H$1:$I$16,2,0)</f>
        <v>Failed</v>
      </c>
    </row>
    <row r="47" spans="1:19" x14ac:dyDescent="0.3">
      <c r="A47" s="40">
        <v>34</v>
      </c>
      <c r="B47" s="41">
        <f>'DATA ENTRY'!B59</f>
        <v>0</v>
      </c>
      <c r="C47" s="42">
        <f>'DATA ENTRY'!C59</f>
        <v>0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e">
        <f>VLOOKUP(Q47,TGQC!$X$1:$Y$990,2)</f>
        <v>#N/A</v>
      </c>
      <c r="S47" s="40" t="e">
        <f>VLOOKUP(R47,TGQC!$H$1:$I$16,2,0)</f>
        <v>#N/A</v>
      </c>
    </row>
    <row r="48" spans="1:19" x14ac:dyDescent="0.3">
      <c r="A48" s="40">
        <v>35</v>
      </c>
      <c r="B48" s="41">
        <f>'DATA ENTRY'!B60</f>
        <v>0</v>
      </c>
      <c r="C48" s="42">
        <f>'DATA ENTRY'!C60</f>
        <v>0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e">
        <f>VLOOKUP(Q48,TGQC!$X$1:$Y$990,2)</f>
        <v>#N/A</v>
      </c>
      <c r="S48" s="40" t="e">
        <f>VLOOKUP(R48,TGQC!$H$1:$I$16,2,0)</f>
        <v>#N/A</v>
      </c>
    </row>
    <row r="49" spans="1:19" x14ac:dyDescent="0.3">
      <c r="A49" s="40">
        <v>36</v>
      </c>
      <c r="B49" s="41">
        <f>'DATA ENTRY'!B61</f>
        <v>0</v>
      </c>
      <c r="C49" s="42">
        <f>'DATA ENTRY'!C61</f>
        <v>0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e">
        <f>VLOOKUP(Q49,TGQC!$X$1:$Y$990,2)</f>
        <v>#N/A</v>
      </c>
      <c r="S49" s="40" t="e">
        <f>VLOOKUP(R49,TGQC!$H$1:$I$16,2,0)</f>
        <v>#N/A</v>
      </c>
    </row>
    <row r="50" spans="1:19" x14ac:dyDescent="0.3">
      <c r="A50" s="40">
        <v>37</v>
      </c>
      <c r="B50" s="41">
        <f>'DATA ENTRY'!B62</f>
        <v>0</v>
      </c>
      <c r="C50" s="42">
        <f>'DATA ENTRY'!C62</f>
        <v>0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e">
        <f>VLOOKUP(Q50,TGQC!$X$1:$Y$990,2)</f>
        <v>#N/A</v>
      </c>
      <c r="S50" s="40" t="e">
        <f>VLOOKUP(R50,TGQC!$H$1:$I$16,2,0)</f>
        <v>#N/A</v>
      </c>
    </row>
    <row r="51" spans="1:19" x14ac:dyDescent="0.3">
      <c r="A51" s="40">
        <v>38</v>
      </c>
      <c r="B51" s="41">
        <f>'DATA ENTRY'!B63</f>
        <v>0</v>
      </c>
      <c r="C51" s="42">
        <f>'DATA ENTRY'!C63</f>
        <v>0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e">
        <f>VLOOKUP(Q51,TGQC!$X$1:$Y$990,2)</f>
        <v>#N/A</v>
      </c>
      <c r="S51" s="40" t="e">
        <f>VLOOKUP(R51,TGQC!$H$1:$I$16,2,0)</f>
        <v>#N/A</v>
      </c>
    </row>
    <row r="52" spans="1:19" x14ac:dyDescent="0.3">
      <c r="A52" s="40">
        <v>39</v>
      </c>
      <c r="B52" s="41">
        <f>'DATA ENTRY'!B64</f>
        <v>0</v>
      </c>
      <c r="C52" s="42">
        <f>'DATA ENTRY'!C64</f>
        <v>0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e">
        <f>VLOOKUP(Q52,TGQC!$X$1:$Y$990,2)</f>
        <v>#N/A</v>
      </c>
      <c r="S52" s="40" t="e">
        <f>VLOOKUP(R52,TGQC!$H$1:$I$16,2,0)</f>
        <v>#N/A</v>
      </c>
    </row>
    <row r="53" spans="1:19" x14ac:dyDescent="0.3">
      <c r="A53" s="40">
        <v>40</v>
      </c>
      <c r="B53" s="41">
        <f>'DATA ENTRY'!B65</f>
        <v>0</v>
      </c>
      <c r="C53" s="42">
        <f>'DATA ENTRY'!C65</f>
        <v>0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e">
        <f>VLOOKUP(Q53,TGQC!$X$1:$Y$990,2)</f>
        <v>#N/A</v>
      </c>
      <c r="S53" s="40" t="e">
        <f>VLOOKUP(R53,TGQC!$H$1:$I$16,2,0)</f>
        <v>#N/A</v>
      </c>
    </row>
    <row r="54" spans="1:19" x14ac:dyDescent="0.3">
      <c r="A54" s="40">
        <v>41</v>
      </c>
      <c r="B54" s="41">
        <f>'DATA ENTRY'!B66</f>
        <v>0</v>
      </c>
      <c r="C54" s="42">
        <f>'DATA ENTRY'!C66</f>
        <v>0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e">
        <f>VLOOKUP(Q54,TGQC!$X$1:$Y$990,2)</f>
        <v>#N/A</v>
      </c>
      <c r="S54" s="40" t="e">
        <f>VLOOKUP(R54,TGQC!$H$1:$I$16,2,0)</f>
        <v>#N/A</v>
      </c>
    </row>
    <row r="55" spans="1:19" x14ac:dyDescent="0.3">
      <c r="A55" s="40">
        <v>42</v>
      </c>
      <c r="B55" s="41">
        <f>'DATA ENTRY'!B67</f>
        <v>0</v>
      </c>
      <c r="C55" s="42">
        <f>'DATA ENTRY'!C67</f>
        <v>0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e">
        <f>VLOOKUP(Q55,TGQC!$X$1:$Y$990,2)</f>
        <v>#N/A</v>
      </c>
      <c r="S55" s="40" t="e">
        <f>VLOOKUP(R55,TGQC!$H$1:$I$16,2,0)</f>
        <v>#N/A</v>
      </c>
    </row>
    <row r="56" spans="1:19" x14ac:dyDescent="0.3">
      <c r="A56" s="40">
        <v>43</v>
      </c>
      <c r="B56" s="41">
        <f>'DATA ENTRY'!B68</f>
        <v>0</v>
      </c>
      <c r="C56" s="42">
        <f>'DATA ENTRY'!C68</f>
        <v>0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e">
        <f>VLOOKUP(Q56,TGQC!$X$1:$Y$990,2)</f>
        <v>#N/A</v>
      </c>
      <c r="S56" s="40" t="e">
        <f>VLOOKUP(R56,TGQC!$H$1:$I$16,2,0)</f>
        <v>#N/A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60"/>
    </row>
    <row r="115" spans="1:19" x14ac:dyDescent="0.3">
      <c r="M115" s="47"/>
      <c r="N115" s="47"/>
      <c r="O115" s="48"/>
      <c r="P115" s="48"/>
      <c r="Q115" s="60"/>
    </row>
    <row r="116" spans="1:19" x14ac:dyDescent="0.3">
      <c r="M116" s="47"/>
      <c r="N116" s="47"/>
      <c r="O116" s="48"/>
      <c r="P116" s="48"/>
      <c r="Q116" s="60"/>
    </row>
  </sheetData>
  <sheetProtection algorithmName="SHA-512" hashValue="hdaK3+YRe4r3sguv1bQkuqp+qYiPBqMd9BxZ79ak3jfUwASSZbk60/Bt+4pI1rZIPpj5QFBYmywDE+D1j2wYUA==" saltValue="36GCgBV2uTNfycJuuFP1gw==" spinCount="100000" sheet="1" objects="1" scenarios="1"/>
  <mergeCells count="22">
    <mergeCell ref="A1:S1"/>
    <mergeCell ref="A2:S2"/>
    <mergeCell ref="A3:S3"/>
    <mergeCell ref="A4:S4"/>
    <mergeCell ref="C9:H9"/>
    <mergeCell ref="K5:M5"/>
    <mergeCell ref="K6:M6"/>
    <mergeCell ref="K7:M7"/>
    <mergeCell ref="K8:M8"/>
    <mergeCell ref="Q5:R5"/>
    <mergeCell ref="Q6:R6"/>
    <mergeCell ref="Q12:Q13"/>
    <mergeCell ref="R12:R13"/>
    <mergeCell ref="S12:S13"/>
    <mergeCell ref="A12:A13"/>
    <mergeCell ref="B12:B13"/>
    <mergeCell ref="C12:C13"/>
    <mergeCell ref="D12:H12"/>
    <mergeCell ref="I12:I13"/>
    <mergeCell ref="J12:N12"/>
    <mergeCell ref="O12:O13"/>
    <mergeCell ref="P12:P13"/>
  </mergeCells>
  <conditionalFormatting sqref="J14:N36 D14:H113 L37:N41 J38:K41 J42:N113">
    <cfRule type="containsBlanks" dxfId="27" priority="8">
      <formula>LEN(TRIM(D14))=0</formula>
    </cfRule>
  </conditionalFormatting>
  <conditionalFormatting sqref="P14:P113">
    <cfRule type="containsBlanks" dxfId="26" priority="1">
      <formula>LEN(TRIM(P14))=0</formula>
    </cfRule>
  </conditionalFormatting>
  <conditionalFormatting sqref="R14:S113">
    <cfRule type="containsErrors" dxfId="25" priority="5">
      <formula>ISERROR(R14)</formula>
    </cfRule>
  </conditionalFormatting>
  <conditionalFormatting sqref="S14:S113">
    <cfRule type="containsText" dxfId="24" priority="9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1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16"/>
  <sheetViews>
    <sheetView showGridLines="0" view="pageBreakPreview" topLeftCell="A18" zoomScale="145" zoomScaleNormal="145" zoomScaleSheetLayoutView="145" workbookViewId="0">
      <selection activeCell="C39" sqref="C39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83" t="s">
        <v>24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19" ht="14.4" x14ac:dyDescent="0.3">
      <c r="A2" s="85" t="str">
        <f>'DATA ENTRY'!E6</f>
        <v>Antipolo City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19" x14ac:dyDescent="0.3">
      <c r="A3" s="86" t="s">
        <v>22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</row>
    <row r="4" spans="1:19" x14ac:dyDescent="0.3">
      <c r="A4" s="88" t="s">
        <v>25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89">
        <f>'DATA ENTRY'!$C$18</f>
        <v>0</v>
      </c>
      <c r="L5" s="89"/>
      <c r="M5" s="89"/>
      <c r="P5" s="35" t="s">
        <v>111</v>
      </c>
      <c r="Q5" s="89">
        <f>'DATA ENTRY'!C21</f>
        <v>0</v>
      </c>
      <c r="R5" s="89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89">
        <f>'DATA ENTRY'!$C$19</f>
        <v>0</v>
      </c>
      <c r="L6" s="89"/>
      <c r="M6" s="89"/>
      <c r="P6" s="35" t="s">
        <v>112</v>
      </c>
      <c r="Q6" s="89">
        <f>'DATA ENTRY'!E13</f>
        <v>0</v>
      </c>
      <c r="R6" s="89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89">
        <f>'DATA ENTRY'!C20</f>
        <v>0</v>
      </c>
      <c r="L7" s="89"/>
      <c r="M7" s="89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89">
        <f>'DATA ENTRY'!C10</f>
        <v>0</v>
      </c>
      <c r="L8" s="89"/>
      <c r="M8" s="89"/>
    </row>
    <row r="9" spans="1:19" x14ac:dyDescent="0.3">
      <c r="B9" s="35" t="s">
        <v>106</v>
      </c>
      <c r="C9" s="89">
        <f>'DATA ENTRY'!$C$13</f>
        <v>0</v>
      </c>
      <c r="D9" s="89"/>
      <c r="E9" s="89"/>
      <c r="F9" s="89"/>
      <c r="G9" s="89"/>
      <c r="H9" s="89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75" t="s">
        <v>27</v>
      </c>
      <c r="B12" s="75" t="s">
        <v>28</v>
      </c>
      <c r="C12" s="75" t="s">
        <v>5</v>
      </c>
      <c r="D12" s="77" t="s">
        <v>91</v>
      </c>
      <c r="E12" s="77"/>
      <c r="F12" s="77"/>
      <c r="G12" s="77"/>
      <c r="H12" s="77"/>
      <c r="I12" s="78" t="s">
        <v>92</v>
      </c>
      <c r="J12" s="77" t="s">
        <v>10</v>
      </c>
      <c r="K12" s="80"/>
      <c r="L12" s="80"/>
      <c r="M12" s="80"/>
      <c r="N12" s="80"/>
      <c r="O12" s="78" t="s">
        <v>92</v>
      </c>
      <c r="P12" s="81" t="s">
        <v>99</v>
      </c>
      <c r="Q12" s="90" t="s">
        <v>21</v>
      </c>
      <c r="R12" s="73" t="s">
        <v>20</v>
      </c>
      <c r="S12" s="73" t="s">
        <v>9</v>
      </c>
    </row>
    <row r="13" spans="1:19" ht="103.5" customHeight="1" x14ac:dyDescent="0.3">
      <c r="A13" s="76"/>
      <c r="B13" s="76"/>
      <c r="C13" s="76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79"/>
      <c r="J13" s="39"/>
      <c r="K13" s="39"/>
      <c r="L13" s="39"/>
      <c r="M13" s="39"/>
      <c r="N13" s="39"/>
      <c r="O13" s="79"/>
      <c r="P13" s="82"/>
      <c r="Q13" s="91"/>
      <c r="R13" s="74"/>
      <c r="S13" s="74"/>
    </row>
    <row r="14" spans="1:19" x14ac:dyDescent="0.3">
      <c r="A14" s="40">
        <v>1</v>
      </c>
      <c r="B14" s="41" t="str">
        <f>'DATA ENTRY'!B26</f>
        <v>23-QC04797</v>
      </c>
      <c r="C14" s="42" t="str">
        <f>'DATA ENTRY'!C26</f>
        <v>ABOL, ROLAND CARL SANTIAGO</v>
      </c>
      <c r="D14" s="43"/>
      <c r="E14" s="43"/>
      <c r="F14" s="43"/>
      <c r="G14" s="43"/>
      <c r="H14" s="43"/>
      <c r="I14" s="44" t="str">
        <f>IFERROR(AVERAGE(D14:H14),"0")</f>
        <v>0</v>
      </c>
      <c r="J14" s="43"/>
      <c r="K14" s="43"/>
      <c r="L14" s="43"/>
      <c r="M14" s="43"/>
      <c r="N14" s="43"/>
      <c r="O14" s="44" t="str">
        <f>IFERROR(AVERAGE(J14:N14),"0")</f>
        <v>0</v>
      </c>
      <c r="P14" s="43"/>
      <c r="Q14" s="45">
        <f>SUM(I14,O14,P14)/3</f>
        <v>0</v>
      </c>
      <c r="R14" s="40" t="e">
        <f>VLOOKUP(Q14,TGQC!$X$1:$Y$990,2)</f>
        <v>#N/A</v>
      </c>
      <c r="S14" s="40" t="e">
        <f>VLOOKUP(R14,TGQC!$H$1:$I$16,2,0)</f>
        <v>#N/A</v>
      </c>
    </row>
    <row r="15" spans="1:19" x14ac:dyDescent="0.3">
      <c r="A15" s="40">
        <v>2</v>
      </c>
      <c r="B15" s="41" t="str">
        <f>'DATA ENTRY'!B27</f>
        <v>23-QC05073</v>
      </c>
      <c r="C15" s="42" t="str">
        <f>'DATA ENTRY'!C27</f>
        <v>AGUINALDO, ANGELO NIKHAIL SAN DIEGO</v>
      </c>
      <c r="D15" s="43"/>
      <c r="E15" s="43"/>
      <c r="F15" s="43"/>
      <c r="G15" s="43"/>
      <c r="H15" s="43"/>
      <c r="I15" s="44" t="str">
        <f t="shared" ref="I15:I78" si="0">IFERROR(AVERAGE(D15:H15),"0")</f>
        <v>0</v>
      </c>
      <c r="J15" s="43"/>
      <c r="K15" s="43"/>
      <c r="L15" s="43"/>
      <c r="M15" s="43"/>
      <c r="N15" s="43"/>
      <c r="O15" s="44" t="str">
        <f t="shared" ref="O15:O78" si="1">IFERROR(AVERAGE(J15:N15),"0")</f>
        <v>0</v>
      </c>
      <c r="P15" s="43"/>
      <c r="Q15" s="45">
        <f t="shared" ref="Q15:Q78" si="2">SUM(I15,O15,P15)/3</f>
        <v>0</v>
      </c>
      <c r="R15" s="40" t="e">
        <f>VLOOKUP(Q15,TGQC!$X$1:$Y$990,2)</f>
        <v>#N/A</v>
      </c>
      <c r="S15" s="40" t="e">
        <f>VLOOKUP(R15,TGQC!$H$1:$I$16,2,0)</f>
        <v>#N/A</v>
      </c>
    </row>
    <row r="16" spans="1:19" x14ac:dyDescent="0.3">
      <c r="A16" s="40">
        <v>3</v>
      </c>
      <c r="B16" s="41" t="str">
        <f>'DATA ENTRY'!B28</f>
        <v>23-QC03798</v>
      </c>
      <c r="C16" s="42" t="str">
        <f>'DATA ENTRY'!C28</f>
        <v>BULUSAN, MA. CHRISTINA AVIEGAIL CABARUAN</v>
      </c>
      <c r="D16" s="43"/>
      <c r="E16" s="43"/>
      <c r="F16" s="43"/>
      <c r="G16" s="43"/>
      <c r="H16" s="43"/>
      <c r="I16" s="44" t="str">
        <f t="shared" si="0"/>
        <v>0</v>
      </c>
      <c r="J16" s="43"/>
      <c r="K16" s="43"/>
      <c r="L16" s="43"/>
      <c r="M16" s="43"/>
      <c r="N16" s="43"/>
      <c r="O16" s="44" t="str">
        <f t="shared" si="1"/>
        <v>0</v>
      </c>
      <c r="P16" s="43"/>
      <c r="Q16" s="45">
        <f t="shared" si="2"/>
        <v>0</v>
      </c>
      <c r="R16" s="40" t="e">
        <f>VLOOKUP(Q16,TGQC!$X$1:$Y$990,2)</f>
        <v>#N/A</v>
      </c>
      <c r="S16" s="40" t="e">
        <f>VLOOKUP(R16,TGQC!$H$1:$I$16,2,0)</f>
        <v>#N/A</v>
      </c>
    </row>
    <row r="17" spans="1:19" x14ac:dyDescent="0.3">
      <c r="A17" s="40">
        <v>4</v>
      </c>
      <c r="B17" s="41" t="str">
        <f>'DATA ENTRY'!B29</f>
        <v>23-QC03776</v>
      </c>
      <c r="C17" s="42" t="str">
        <f>'DATA ENTRY'!C29</f>
        <v>CAASI, SHAWN DHELRIC</v>
      </c>
      <c r="D17" s="43"/>
      <c r="E17" s="43"/>
      <c r="F17" s="43"/>
      <c r="G17" s="43"/>
      <c r="H17" s="43"/>
      <c r="I17" s="44" t="str">
        <f t="shared" si="0"/>
        <v>0</v>
      </c>
      <c r="J17" s="43"/>
      <c r="K17" s="43"/>
      <c r="L17" s="43"/>
      <c r="M17" s="43"/>
      <c r="N17" s="43"/>
      <c r="O17" s="44" t="str">
        <f t="shared" si="1"/>
        <v>0</v>
      </c>
      <c r="P17" s="43"/>
      <c r="Q17" s="45">
        <f t="shared" si="2"/>
        <v>0</v>
      </c>
      <c r="R17" s="40" t="e">
        <f>VLOOKUP(Q17,TGQC!$X$1:$Y$990,2)</f>
        <v>#N/A</v>
      </c>
      <c r="S17" s="40" t="e">
        <f>VLOOKUP(R17,TGQC!$H$1:$I$16,2,0)</f>
        <v>#N/A</v>
      </c>
    </row>
    <row r="18" spans="1:19" x14ac:dyDescent="0.3">
      <c r="A18" s="40">
        <v>5</v>
      </c>
      <c r="B18" s="41" t="str">
        <f>'DATA ENTRY'!B30</f>
        <v>23-QC04290</v>
      </c>
      <c r="C18" s="42" t="str">
        <f>'DATA ENTRY'!C30</f>
        <v>CATAAG, MARK LEONY BALUBAR</v>
      </c>
      <c r="D18" s="43"/>
      <c r="E18" s="43"/>
      <c r="F18" s="43"/>
      <c r="G18" s="43"/>
      <c r="H18" s="43"/>
      <c r="I18" s="44" t="str">
        <f t="shared" si="0"/>
        <v>0</v>
      </c>
      <c r="J18" s="43"/>
      <c r="K18" s="43"/>
      <c r="L18" s="43"/>
      <c r="M18" s="43"/>
      <c r="N18" s="43"/>
      <c r="O18" s="44" t="str">
        <f t="shared" si="1"/>
        <v>0</v>
      </c>
      <c r="P18" s="43"/>
      <c r="Q18" s="45">
        <f t="shared" si="2"/>
        <v>0</v>
      </c>
      <c r="R18" s="40" t="e">
        <f>VLOOKUP(Q18,TGQC!$X$1:$Y$990,2)</f>
        <v>#N/A</v>
      </c>
      <c r="S18" s="40" t="e">
        <f>VLOOKUP(R18,TGQC!$H$1:$I$16,2,0)</f>
        <v>#N/A</v>
      </c>
    </row>
    <row r="19" spans="1:19" x14ac:dyDescent="0.3">
      <c r="A19" s="40">
        <v>6</v>
      </c>
      <c r="B19" s="41" t="str">
        <f>'DATA ENTRY'!B31</f>
        <v>23-QC03565</v>
      </c>
      <c r="C19" s="42" t="str">
        <f>'DATA ENTRY'!C31</f>
        <v>CUNANAN, JASMINE MAE TIPRADO</v>
      </c>
      <c r="D19" s="43"/>
      <c r="E19" s="43"/>
      <c r="F19" s="43"/>
      <c r="G19" s="43"/>
      <c r="H19" s="43"/>
      <c r="I19" s="44" t="str">
        <f t="shared" si="0"/>
        <v>0</v>
      </c>
      <c r="J19" s="43"/>
      <c r="K19" s="43"/>
      <c r="L19" s="43"/>
      <c r="M19" s="43"/>
      <c r="N19" s="43"/>
      <c r="O19" s="44" t="str">
        <f t="shared" si="1"/>
        <v>0</v>
      </c>
      <c r="P19" s="43"/>
      <c r="Q19" s="45">
        <f t="shared" si="2"/>
        <v>0</v>
      </c>
      <c r="R19" s="40" t="e">
        <f>VLOOKUP(Q19,TGQC!$X$1:$Y$990,2)</f>
        <v>#N/A</v>
      </c>
      <c r="S19" s="40" t="e">
        <f>VLOOKUP(R19,TGQC!$H$1:$I$16,2,0)</f>
        <v>#N/A</v>
      </c>
    </row>
    <row r="20" spans="1:19" x14ac:dyDescent="0.3">
      <c r="A20" s="40">
        <v>7</v>
      </c>
      <c r="B20" s="41" t="str">
        <f>'DATA ENTRY'!B32</f>
        <v>23-QC04656</v>
      </c>
      <c r="C20" s="42" t="str">
        <f>'DATA ENTRY'!C32</f>
        <v>DE GUZMAN, ESPRIT DATUL</v>
      </c>
      <c r="D20" s="43"/>
      <c r="E20" s="43"/>
      <c r="F20" s="43"/>
      <c r="G20" s="43"/>
      <c r="H20" s="43"/>
      <c r="I20" s="44" t="str">
        <f t="shared" si="0"/>
        <v>0</v>
      </c>
      <c r="J20" s="43"/>
      <c r="K20" s="43"/>
      <c r="L20" s="43"/>
      <c r="M20" s="43"/>
      <c r="N20" s="43"/>
      <c r="O20" s="44" t="str">
        <f t="shared" si="1"/>
        <v>0</v>
      </c>
      <c r="P20" s="43"/>
      <c r="Q20" s="45">
        <f t="shared" si="2"/>
        <v>0</v>
      </c>
      <c r="R20" s="40" t="e">
        <f>VLOOKUP(Q20,TGQC!$X$1:$Y$990,2)</f>
        <v>#N/A</v>
      </c>
      <c r="S20" s="40" t="e">
        <f>VLOOKUP(R20,TGQC!$H$1:$I$16,2,0)</f>
        <v>#N/A</v>
      </c>
    </row>
    <row r="21" spans="1:19" x14ac:dyDescent="0.3">
      <c r="A21" s="40">
        <v>8</v>
      </c>
      <c r="B21" s="41" t="str">
        <f>'DATA ENTRY'!B33</f>
        <v>23-QC04262</v>
      </c>
      <c r="C21" s="42" t="str">
        <f>'DATA ENTRY'!C33</f>
        <v>DE GUZMAN, JONATHAN EARL COPRADO</v>
      </c>
      <c r="D21" s="43"/>
      <c r="E21" s="43"/>
      <c r="F21" s="43"/>
      <c r="G21" s="43"/>
      <c r="H21" s="43"/>
      <c r="I21" s="44" t="str">
        <f t="shared" si="0"/>
        <v>0</v>
      </c>
      <c r="J21" s="43"/>
      <c r="K21" s="43"/>
      <c r="L21" s="43"/>
      <c r="M21" s="43"/>
      <c r="N21" s="43"/>
      <c r="O21" s="44" t="str">
        <f t="shared" si="1"/>
        <v>0</v>
      </c>
      <c r="P21" s="43"/>
      <c r="Q21" s="45">
        <f t="shared" si="2"/>
        <v>0</v>
      </c>
      <c r="R21" s="40" t="e">
        <f>VLOOKUP(Q21,TGQC!$X$1:$Y$990,2)</f>
        <v>#N/A</v>
      </c>
      <c r="S21" s="40" t="e">
        <f>VLOOKUP(R21,TGQC!$H$1:$I$16,2,0)</f>
        <v>#N/A</v>
      </c>
    </row>
    <row r="22" spans="1:19" x14ac:dyDescent="0.3">
      <c r="A22" s="40">
        <v>9</v>
      </c>
      <c r="B22" s="41" t="str">
        <f>'DATA ENTRY'!B34</f>
        <v>23-QC02958</v>
      </c>
      <c r="C22" s="42" t="str">
        <f>'DATA ENTRY'!C34</f>
        <v>DE VEGA, DENBER REYES</v>
      </c>
      <c r="D22" s="43"/>
      <c r="E22" s="43"/>
      <c r="F22" s="43"/>
      <c r="G22" s="43"/>
      <c r="H22" s="43"/>
      <c r="I22" s="44" t="str">
        <f t="shared" si="0"/>
        <v>0</v>
      </c>
      <c r="J22" s="43"/>
      <c r="K22" s="43"/>
      <c r="L22" s="43"/>
      <c r="M22" s="43"/>
      <c r="N22" s="43"/>
      <c r="O22" s="44" t="str">
        <f t="shared" si="1"/>
        <v>0</v>
      </c>
      <c r="P22" s="43"/>
      <c r="Q22" s="45">
        <f t="shared" si="2"/>
        <v>0</v>
      </c>
      <c r="R22" s="40" t="e">
        <f>VLOOKUP(Q22,TGQC!$X$1:$Y$990,2)</f>
        <v>#N/A</v>
      </c>
      <c r="S22" s="40" t="e">
        <f>VLOOKUP(R22,TGQC!$H$1:$I$16,2,0)</f>
        <v>#N/A</v>
      </c>
    </row>
    <row r="23" spans="1:19" x14ac:dyDescent="0.3">
      <c r="A23" s="40">
        <v>10</v>
      </c>
      <c r="B23" s="41" t="str">
        <f>'DATA ENTRY'!B35</f>
        <v>23-QC02881</v>
      </c>
      <c r="C23" s="42" t="str">
        <f>'DATA ENTRY'!C35</f>
        <v>ESPIRITU, VHYNCE ARNOLD AZUL</v>
      </c>
      <c r="D23" s="43"/>
      <c r="E23" s="43"/>
      <c r="F23" s="43"/>
      <c r="G23" s="43"/>
      <c r="H23" s="43"/>
      <c r="I23" s="44" t="str">
        <f t="shared" si="0"/>
        <v>0</v>
      </c>
      <c r="J23" s="43"/>
      <c r="K23" s="43"/>
      <c r="L23" s="43"/>
      <c r="M23" s="43"/>
      <c r="N23" s="43"/>
      <c r="O23" s="44" t="str">
        <f t="shared" si="1"/>
        <v>0</v>
      </c>
      <c r="P23" s="43"/>
      <c r="Q23" s="45">
        <f t="shared" si="2"/>
        <v>0</v>
      </c>
      <c r="R23" s="40" t="e">
        <f>VLOOKUP(Q23,TGQC!$X$1:$Y$990,2)</f>
        <v>#N/A</v>
      </c>
      <c r="S23" s="40" t="e">
        <f>VLOOKUP(R23,TGQC!$H$1:$I$16,2,0)</f>
        <v>#N/A</v>
      </c>
    </row>
    <row r="24" spans="1:19" x14ac:dyDescent="0.3">
      <c r="A24" s="40">
        <v>11</v>
      </c>
      <c r="B24" s="41" t="str">
        <f>'DATA ENTRY'!B36</f>
        <v>23-QC02960</v>
      </c>
      <c r="C24" s="42" t="str">
        <f>'DATA ENTRY'!C36</f>
        <v>GADIER, JOHN ENRICK ROBERTO</v>
      </c>
      <c r="D24" s="43"/>
      <c r="E24" s="43"/>
      <c r="F24" s="43"/>
      <c r="G24" s="43"/>
      <c r="H24" s="43"/>
      <c r="I24" s="44" t="str">
        <f t="shared" si="0"/>
        <v>0</v>
      </c>
      <c r="J24" s="43"/>
      <c r="K24" s="43"/>
      <c r="L24" s="43"/>
      <c r="M24" s="43"/>
      <c r="N24" s="43"/>
      <c r="O24" s="44" t="str">
        <f t="shared" si="1"/>
        <v>0</v>
      </c>
      <c r="P24" s="43"/>
      <c r="Q24" s="45">
        <f t="shared" si="2"/>
        <v>0</v>
      </c>
      <c r="R24" s="40" t="e">
        <f>VLOOKUP(Q24,TGQC!$X$1:$Y$990,2)</f>
        <v>#N/A</v>
      </c>
      <c r="S24" s="40" t="e">
        <f>VLOOKUP(R24,TGQC!$H$1:$I$16,2,0)</f>
        <v>#N/A</v>
      </c>
    </row>
    <row r="25" spans="1:19" x14ac:dyDescent="0.3">
      <c r="A25" s="40">
        <v>12</v>
      </c>
      <c r="B25" s="41" t="str">
        <f>'DATA ENTRY'!B37</f>
        <v>23-QC04082</v>
      </c>
      <c r="C25" s="42" t="str">
        <f>'DATA ENTRY'!C37</f>
        <v>GROSPE, KC SALGADO</v>
      </c>
      <c r="D25" s="43"/>
      <c r="E25" s="43"/>
      <c r="F25" s="43"/>
      <c r="G25" s="43"/>
      <c r="H25" s="43"/>
      <c r="I25" s="44" t="str">
        <f t="shared" si="0"/>
        <v>0</v>
      </c>
      <c r="J25" s="43"/>
      <c r="K25" s="43"/>
      <c r="L25" s="43"/>
      <c r="M25" s="43"/>
      <c r="N25" s="43"/>
      <c r="O25" s="44" t="str">
        <f t="shared" si="1"/>
        <v>0</v>
      </c>
      <c r="P25" s="43"/>
      <c r="Q25" s="45">
        <f t="shared" si="2"/>
        <v>0</v>
      </c>
      <c r="R25" s="40" t="e">
        <f>VLOOKUP(Q25,TGQC!$X$1:$Y$990,2)</f>
        <v>#N/A</v>
      </c>
      <c r="S25" s="40" t="e">
        <f>VLOOKUP(R25,TGQC!$H$1:$I$16,2,0)</f>
        <v>#N/A</v>
      </c>
    </row>
    <row r="26" spans="1:19" x14ac:dyDescent="0.3">
      <c r="A26" s="40">
        <v>13</v>
      </c>
      <c r="B26" s="41" t="str">
        <f>'DATA ENTRY'!B38</f>
        <v>23-QC04267</v>
      </c>
      <c r="C26" s="42" t="str">
        <f>'DATA ENTRY'!C38</f>
        <v>IGNACIO, RENIEL ELIZALDE RAMOS</v>
      </c>
      <c r="D26" s="43"/>
      <c r="E26" s="43"/>
      <c r="F26" s="43"/>
      <c r="G26" s="43"/>
      <c r="H26" s="43"/>
      <c r="I26" s="44" t="str">
        <f t="shared" si="0"/>
        <v>0</v>
      </c>
      <c r="J26" s="43"/>
      <c r="K26" s="43"/>
      <c r="L26" s="43"/>
      <c r="M26" s="43"/>
      <c r="N26" s="43"/>
      <c r="O26" s="44" t="str">
        <f t="shared" si="1"/>
        <v>0</v>
      </c>
      <c r="P26" s="43"/>
      <c r="Q26" s="45">
        <f t="shared" si="2"/>
        <v>0</v>
      </c>
      <c r="R26" s="40" t="e">
        <f>VLOOKUP(Q26,TGQC!$X$1:$Y$990,2)</f>
        <v>#N/A</v>
      </c>
      <c r="S26" s="40" t="e">
        <f>VLOOKUP(R26,TGQC!$H$1:$I$16,2,0)</f>
        <v>#N/A</v>
      </c>
    </row>
    <row r="27" spans="1:19" x14ac:dyDescent="0.3">
      <c r="A27" s="40">
        <v>14</v>
      </c>
      <c r="B27" s="41" t="str">
        <f>'DATA ENTRY'!B39</f>
        <v>23-QC04131</v>
      </c>
      <c r="C27" s="42" t="str">
        <f>'DATA ENTRY'!C39</f>
        <v>KIM, TSUYOSHI C</v>
      </c>
      <c r="D27" s="43"/>
      <c r="E27" s="43"/>
      <c r="F27" s="43"/>
      <c r="G27" s="43"/>
      <c r="H27" s="43"/>
      <c r="I27" s="44" t="str">
        <f t="shared" si="0"/>
        <v>0</v>
      </c>
      <c r="J27" s="43"/>
      <c r="K27" s="43"/>
      <c r="L27" s="43"/>
      <c r="M27" s="43"/>
      <c r="N27" s="43"/>
      <c r="O27" s="44" t="str">
        <f t="shared" si="1"/>
        <v>0</v>
      </c>
      <c r="P27" s="43"/>
      <c r="Q27" s="45">
        <f t="shared" si="2"/>
        <v>0</v>
      </c>
      <c r="R27" s="40" t="e">
        <f>VLOOKUP(Q27,TGQC!$X$1:$Y$990,2)</f>
        <v>#N/A</v>
      </c>
      <c r="S27" s="40" t="e">
        <f>VLOOKUP(R27,TGQC!$H$1:$I$16,2,0)</f>
        <v>#N/A</v>
      </c>
    </row>
    <row r="28" spans="1:19" x14ac:dyDescent="0.3">
      <c r="A28" s="40">
        <v>15</v>
      </c>
      <c r="B28" s="41" t="str">
        <f>'DATA ENTRY'!B40</f>
        <v>23-QC03556</v>
      </c>
      <c r="C28" s="42" t="str">
        <f>'DATA ENTRY'!C40</f>
        <v>LACEDA, JANN EIRRON PATACSIL</v>
      </c>
      <c r="D28" s="43"/>
      <c r="E28" s="43"/>
      <c r="F28" s="43"/>
      <c r="G28" s="43"/>
      <c r="H28" s="43"/>
      <c r="I28" s="44" t="str">
        <f t="shared" si="0"/>
        <v>0</v>
      </c>
      <c r="J28" s="43"/>
      <c r="K28" s="43"/>
      <c r="L28" s="43"/>
      <c r="M28" s="43"/>
      <c r="N28" s="43"/>
      <c r="O28" s="44" t="str">
        <f t="shared" si="1"/>
        <v>0</v>
      </c>
      <c r="P28" s="43"/>
      <c r="Q28" s="45">
        <f t="shared" si="2"/>
        <v>0</v>
      </c>
      <c r="R28" s="40" t="e">
        <f>VLOOKUP(Q28,TGQC!$X$1:$Y$990,2)</f>
        <v>#N/A</v>
      </c>
      <c r="S28" s="40" t="e">
        <f>VLOOKUP(R28,TGQC!$H$1:$I$16,2,0)</f>
        <v>#N/A</v>
      </c>
    </row>
    <row r="29" spans="1:19" x14ac:dyDescent="0.3">
      <c r="A29" s="40">
        <v>16</v>
      </c>
      <c r="B29" s="41" t="str">
        <f>'DATA ENTRY'!B41</f>
        <v>23-QC03532</v>
      </c>
      <c r="C29" s="42" t="str">
        <f>'DATA ENTRY'!C41</f>
        <v>LEGASPI, JOSHUA MONATO</v>
      </c>
      <c r="D29" s="43"/>
      <c r="E29" s="43"/>
      <c r="F29" s="43"/>
      <c r="G29" s="43"/>
      <c r="H29" s="43"/>
      <c r="I29" s="44" t="str">
        <f t="shared" si="0"/>
        <v>0</v>
      </c>
      <c r="J29" s="43"/>
      <c r="K29" s="43"/>
      <c r="L29" s="43"/>
      <c r="M29" s="43"/>
      <c r="N29" s="43"/>
      <c r="O29" s="44" t="str">
        <f t="shared" si="1"/>
        <v>0</v>
      </c>
      <c r="P29" s="43"/>
      <c r="Q29" s="45">
        <f t="shared" si="2"/>
        <v>0</v>
      </c>
      <c r="R29" s="40" t="e">
        <f>VLOOKUP(Q29,TGQC!$X$1:$Y$990,2)</f>
        <v>#N/A</v>
      </c>
      <c r="S29" s="40" t="e">
        <f>VLOOKUP(R29,TGQC!$H$1:$I$16,2,0)</f>
        <v>#N/A</v>
      </c>
    </row>
    <row r="30" spans="1:19" x14ac:dyDescent="0.3">
      <c r="A30" s="40">
        <v>17</v>
      </c>
      <c r="B30" s="41" t="str">
        <f>'DATA ENTRY'!B42</f>
        <v>23-QC03140</v>
      </c>
      <c r="C30" s="42" t="str">
        <f>'DATA ENTRY'!C42</f>
        <v>LIM, DOMINIC MARTIN COSCULLA</v>
      </c>
      <c r="D30" s="43"/>
      <c r="E30" s="43"/>
      <c r="F30" s="43"/>
      <c r="G30" s="43"/>
      <c r="H30" s="43"/>
      <c r="I30" s="44" t="str">
        <f t="shared" si="0"/>
        <v>0</v>
      </c>
      <c r="J30" s="43"/>
      <c r="K30" s="43"/>
      <c r="L30" s="43"/>
      <c r="M30" s="43"/>
      <c r="N30" s="43"/>
      <c r="O30" s="44" t="str">
        <f t="shared" si="1"/>
        <v>0</v>
      </c>
      <c r="P30" s="43"/>
      <c r="Q30" s="45">
        <f t="shared" si="2"/>
        <v>0</v>
      </c>
      <c r="R30" s="40" t="e">
        <f>VLOOKUP(Q30,TGQC!$X$1:$Y$990,2)</f>
        <v>#N/A</v>
      </c>
      <c r="S30" s="40" t="e">
        <f>VLOOKUP(R30,TGQC!$H$1:$I$16,2,0)</f>
        <v>#N/A</v>
      </c>
    </row>
    <row r="31" spans="1:19" x14ac:dyDescent="0.3">
      <c r="A31" s="40">
        <v>18</v>
      </c>
      <c r="B31" s="41" t="str">
        <f>'DATA ENTRY'!B43</f>
        <v>23-QC03808</v>
      </c>
      <c r="C31" s="42" t="str">
        <f>'DATA ENTRY'!C43</f>
        <v>LUPAZ, TEDDY BOY LOZANO</v>
      </c>
      <c r="D31" s="43"/>
      <c r="E31" s="43"/>
      <c r="F31" s="43"/>
      <c r="G31" s="43"/>
      <c r="H31" s="43"/>
      <c r="I31" s="44" t="str">
        <f t="shared" si="0"/>
        <v>0</v>
      </c>
      <c r="J31" s="43"/>
      <c r="K31" s="43"/>
      <c r="L31" s="43"/>
      <c r="M31" s="43"/>
      <c r="N31" s="43"/>
      <c r="O31" s="44" t="str">
        <f t="shared" si="1"/>
        <v>0</v>
      </c>
      <c r="P31" s="43"/>
      <c r="Q31" s="45">
        <f t="shared" si="2"/>
        <v>0</v>
      </c>
      <c r="R31" s="40" t="e">
        <f>VLOOKUP(Q31,TGQC!$X$1:$Y$990,2)</f>
        <v>#N/A</v>
      </c>
      <c r="S31" s="40" t="e">
        <f>VLOOKUP(R31,TGQC!$H$1:$I$16,2,0)</f>
        <v>#N/A</v>
      </c>
    </row>
    <row r="32" spans="1:19" x14ac:dyDescent="0.3">
      <c r="A32" s="40">
        <v>19</v>
      </c>
      <c r="B32" s="41" t="str">
        <f>'DATA ENTRY'!B44</f>
        <v>22-QC01720</v>
      </c>
      <c r="C32" s="42" t="str">
        <f>'DATA ENTRY'!C44</f>
        <v>MALICSI, RALPH MESONGCO</v>
      </c>
      <c r="D32" s="43"/>
      <c r="E32" s="43"/>
      <c r="F32" s="43"/>
      <c r="G32" s="43"/>
      <c r="H32" s="43"/>
      <c r="I32" s="44" t="str">
        <f t="shared" si="0"/>
        <v>0</v>
      </c>
      <c r="J32" s="43"/>
      <c r="K32" s="43"/>
      <c r="L32" s="43"/>
      <c r="M32" s="43"/>
      <c r="N32" s="43"/>
      <c r="O32" s="44" t="str">
        <f t="shared" si="1"/>
        <v>0</v>
      </c>
      <c r="P32" s="43"/>
      <c r="Q32" s="45">
        <f t="shared" si="2"/>
        <v>0</v>
      </c>
      <c r="R32" s="40" t="e">
        <f>VLOOKUP(Q32,TGQC!$X$1:$Y$990,2)</f>
        <v>#N/A</v>
      </c>
      <c r="S32" s="40" t="e">
        <f>VLOOKUP(R32,TGQC!$H$1:$I$16,2,0)</f>
        <v>#N/A</v>
      </c>
    </row>
    <row r="33" spans="1:19" x14ac:dyDescent="0.3">
      <c r="A33" s="40">
        <v>20</v>
      </c>
      <c r="B33" s="41" t="str">
        <f>'DATA ENTRY'!B45</f>
        <v>23-QC04505</v>
      </c>
      <c r="C33" s="42" t="str">
        <f>'DATA ENTRY'!C45</f>
        <v>MATIC, ROIZ FRANCIS JAMAHALI</v>
      </c>
      <c r="D33" s="43"/>
      <c r="E33" s="43"/>
      <c r="F33" s="43"/>
      <c r="G33" s="43"/>
      <c r="H33" s="43"/>
      <c r="I33" s="44" t="str">
        <f t="shared" si="0"/>
        <v>0</v>
      </c>
      <c r="J33" s="43"/>
      <c r="K33" s="43"/>
      <c r="L33" s="43"/>
      <c r="M33" s="43"/>
      <c r="N33" s="43"/>
      <c r="O33" s="44" t="str">
        <f t="shared" si="1"/>
        <v>0</v>
      </c>
      <c r="P33" s="43"/>
      <c r="Q33" s="45">
        <f t="shared" si="2"/>
        <v>0</v>
      </c>
      <c r="R33" s="40" t="e">
        <f>VLOOKUP(Q33,TGQC!$X$1:$Y$990,2)</f>
        <v>#N/A</v>
      </c>
      <c r="S33" s="40" t="e">
        <f>VLOOKUP(R33,TGQC!$H$1:$I$16,2,0)</f>
        <v>#N/A</v>
      </c>
    </row>
    <row r="34" spans="1:19" x14ac:dyDescent="0.3">
      <c r="A34" s="40">
        <v>21</v>
      </c>
      <c r="B34" s="41" t="str">
        <f>'DATA ENTRY'!B46</f>
        <v>23-QC04146</v>
      </c>
      <c r="C34" s="42" t="str">
        <f>'DATA ENTRY'!C46</f>
        <v>PAGUILA, CALEB LAMUEL SANGALANG</v>
      </c>
      <c r="D34" s="43"/>
      <c r="E34" s="43"/>
      <c r="F34" s="43"/>
      <c r="G34" s="43"/>
      <c r="H34" s="43"/>
      <c r="I34" s="44" t="str">
        <f t="shared" si="0"/>
        <v>0</v>
      </c>
      <c r="J34" s="43"/>
      <c r="K34" s="43"/>
      <c r="L34" s="43"/>
      <c r="M34" s="43"/>
      <c r="N34" s="43"/>
      <c r="O34" s="44" t="str">
        <f t="shared" si="1"/>
        <v>0</v>
      </c>
      <c r="P34" s="43"/>
      <c r="Q34" s="45">
        <f t="shared" si="2"/>
        <v>0</v>
      </c>
      <c r="R34" s="40" t="e">
        <f>VLOOKUP(Q34,TGQC!$X$1:$Y$990,2)</f>
        <v>#N/A</v>
      </c>
      <c r="S34" s="40" t="e">
        <f>VLOOKUP(R34,TGQC!$H$1:$I$16,2,0)</f>
        <v>#N/A</v>
      </c>
    </row>
    <row r="35" spans="1:19" x14ac:dyDescent="0.3">
      <c r="A35" s="40">
        <v>22</v>
      </c>
      <c r="B35" s="41" t="str">
        <f>'DATA ENTRY'!B47</f>
        <v>23-QC03088</v>
      </c>
      <c r="C35" s="42" t="str">
        <f>'DATA ENTRY'!C47</f>
        <v>PUZON, JOZIAH AZRIEL NIETES</v>
      </c>
      <c r="D35" s="43"/>
      <c r="E35" s="43"/>
      <c r="F35" s="43"/>
      <c r="G35" s="43"/>
      <c r="H35" s="43"/>
      <c r="I35" s="44" t="str">
        <f t="shared" si="0"/>
        <v>0</v>
      </c>
      <c r="J35" s="43"/>
      <c r="K35" s="43"/>
      <c r="L35" s="43"/>
      <c r="M35" s="43"/>
      <c r="N35" s="43"/>
      <c r="O35" s="44" t="str">
        <f t="shared" si="1"/>
        <v>0</v>
      </c>
      <c r="P35" s="43"/>
      <c r="Q35" s="45">
        <f t="shared" si="2"/>
        <v>0</v>
      </c>
      <c r="R35" s="40" t="e">
        <f>VLOOKUP(Q35,TGQC!$X$1:$Y$990,2)</f>
        <v>#N/A</v>
      </c>
      <c r="S35" s="40" t="e">
        <f>VLOOKUP(R35,TGQC!$H$1:$I$16,2,0)</f>
        <v>#N/A</v>
      </c>
    </row>
    <row r="36" spans="1:19" x14ac:dyDescent="0.3">
      <c r="A36" s="40">
        <v>23</v>
      </c>
      <c r="B36" s="41" t="str">
        <f>'DATA ENTRY'!B48</f>
        <v>23-QC04663</v>
      </c>
      <c r="C36" s="42" t="str">
        <f>'DATA ENTRY'!C48</f>
        <v>REBOQUIO, MARC DANIEL YU</v>
      </c>
      <c r="D36" s="43"/>
      <c r="E36" s="43"/>
      <c r="F36" s="43"/>
      <c r="G36" s="43"/>
      <c r="H36" s="43"/>
      <c r="I36" s="44" t="str">
        <f t="shared" si="0"/>
        <v>0</v>
      </c>
      <c r="J36" s="43"/>
      <c r="K36" s="43"/>
      <c r="L36" s="43"/>
      <c r="M36" s="43"/>
      <c r="N36" s="43"/>
      <c r="O36" s="44" t="str">
        <f t="shared" si="1"/>
        <v>0</v>
      </c>
      <c r="P36" s="43"/>
      <c r="Q36" s="45">
        <f t="shared" si="2"/>
        <v>0</v>
      </c>
      <c r="R36" s="40" t="e">
        <f>VLOOKUP(Q36,TGQC!$X$1:$Y$990,2)</f>
        <v>#N/A</v>
      </c>
      <c r="S36" s="40" t="e">
        <f>VLOOKUP(R36,TGQC!$H$1:$I$16,2,0)</f>
        <v>#N/A</v>
      </c>
    </row>
    <row r="37" spans="1:19" x14ac:dyDescent="0.3">
      <c r="A37" s="40">
        <v>24</v>
      </c>
      <c r="B37" s="41" t="str">
        <f>'DATA ENTRY'!B49</f>
        <v>24-QC14846</v>
      </c>
      <c r="C37" s="42" t="str">
        <f>'DATA ENTRY'!C49</f>
        <v>ROA, MONIQUE GARCES</v>
      </c>
      <c r="D37" s="43"/>
      <c r="E37" s="43"/>
      <c r="F37" s="43"/>
      <c r="G37" s="43"/>
      <c r="H37" s="43"/>
      <c r="I37" s="44" t="str">
        <f t="shared" si="0"/>
        <v>0</v>
      </c>
      <c r="J37" s="43"/>
      <c r="K37" s="43"/>
      <c r="L37" s="43"/>
      <c r="M37" s="43"/>
      <c r="N37" s="43"/>
      <c r="O37" s="44" t="str">
        <f t="shared" si="1"/>
        <v>0</v>
      </c>
      <c r="P37" s="43"/>
      <c r="Q37" s="45">
        <f t="shared" si="2"/>
        <v>0</v>
      </c>
      <c r="R37" s="40" t="e">
        <f>VLOOKUP(Q37,TGQC!$X$1:$Y$990,2)</f>
        <v>#N/A</v>
      </c>
      <c r="S37" s="40" t="e">
        <f>VLOOKUP(R37,TGQC!$H$1:$I$16,2,0)</f>
        <v>#N/A</v>
      </c>
    </row>
    <row r="38" spans="1:19" x14ac:dyDescent="0.3">
      <c r="A38" s="40">
        <v>25</v>
      </c>
      <c r="B38" s="41" t="str">
        <f>'DATA ENTRY'!B50</f>
        <v>23-QC03931</v>
      </c>
      <c r="C38" s="42" t="str">
        <f>'DATA ENTRY'!C50</f>
        <v>SANCHEZ, GODWIN BAUTISTA</v>
      </c>
      <c r="D38" s="43"/>
      <c r="E38" s="43"/>
      <c r="F38" s="43"/>
      <c r="G38" s="43"/>
      <c r="H38" s="43"/>
      <c r="I38" s="44" t="str">
        <f t="shared" si="0"/>
        <v>0</v>
      </c>
      <c r="J38" s="43"/>
      <c r="K38" s="43"/>
      <c r="L38" s="43"/>
      <c r="M38" s="43"/>
      <c r="N38" s="43"/>
      <c r="O38" s="44" t="str">
        <f t="shared" si="1"/>
        <v>0</v>
      </c>
      <c r="P38" s="43"/>
      <c r="Q38" s="45">
        <f t="shared" si="2"/>
        <v>0</v>
      </c>
      <c r="R38" s="40" t="e">
        <f>VLOOKUP(Q38,TGQC!$X$1:$Y$990,2)</f>
        <v>#N/A</v>
      </c>
      <c r="S38" s="40" t="e">
        <f>VLOOKUP(R38,TGQC!$H$1:$I$16,2,0)</f>
        <v>#N/A</v>
      </c>
    </row>
    <row r="39" spans="1:19" x14ac:dyDescent="0.3">
      <c r="A39" s="40">
        <v>26</v>
      </c>
      <c r="B39" s="41" t="str">
        <f>'DATA ENTRY'!B51</f>
        <v>23-QC03869</v>
      </c>
      <c r="C39" s="42" t="str">
        <f>'DATA ENTRY'!C51</f>
        <v>SANCHEZ, ZANDER CEDRIC</v>
      </c>
      <c r="D39" s="43"/>
      <c r="E39" s="43"/>
      <c r="F39" s="43"/>
      <c r="G39" s="43"/>
      <c r="H39" s="43"/>
      <c r="I39" s="44" t="str">
        <f t="shared" si="0"/>
        <v>0</v>
      </c>
      <c r="J39" s="43"/>
      <c r="K39" s="43"/>
      <c r="L39" s="43"/>
      <c r="M39" s="43"/>
      <c r="N39" s="43"/>
      <c r="O39" s="44" t="str">
        <f t="shared" si="1"/>
        <v>0</v>
      </c>
      <c r="P39" s="43"/>
      <c r="Q39" s="45">
        <f t="shared" si="2"/>
        <v>0</v>
      </c>
      <c r="R39" s="40" t="e">
        <f>VLOOKUP(Q39,TGQC!$X$1:$Y$990,2)</f>
        <v>#N/A</v>
      </c>
      <c r="S39" s="40" t="e">
        <f>VLOOKUP(R39,TGQC!$H$1:$I$16,2,0)</f>
        <v>#N/A</v>
      </c>
    </row>
    <row r="40" spans="1:19" x14ac:dyDescent="0.3">
      <c r="A40" s="40">
        <v>27</v>
      </c>
      <c r="B40" s="41" t="str">
        <f>'DATA ENTRY'!B52</f>
        <v>23-QC04693</v>
      </c>
      <c r="C40" s="42" t="str">
        <f>'DATA ENTRY'!C52</f>
        <v>SANTOS, CASEY ANN NONOSO</v>
      </c>
      <c r="D40" s="43"/>
      <c r="E40" s="43"/>
      <c r="F40" s="43"/>
      <c r="G40" s="43"/>
      <c r="H40" s="43"/>
      <c r="I40" s="44" t="str">
        <f t="shared" si="0"/>
        <v>0</v>
      </c>
      <c r="J40" s="43"/>
      <c r="K40" s="43"/>
      <c r="L40" s="43"/>
      <c r="M40" s="43"/>
      <c r="N40" s="43"/>
      <c r="O40" s="44" t="str">
        <f t="shared" si="1"/>
        <v>0</v>
      </c>
      <c r="P40" s="43"/>
      <c r="Q40" s="45">
        <f t="shared" si="2"/>
        <v>0</v>
      </c>
      <c r="R40" s="40" t="e">
        <f>VLOOKUP(Q40,TGQC!$X$1:$Y$990,2)</f>
        <v>#N/A</v>
      </c>
      <c r="S40" s="40" t="e">
        <f>VLOOKUP(R40,TGQC!$H$1:$I$16,2,0)</f>
        <v>#N/A</v>
      </c>
    </row>
    <row r="41" spans="1:19" x14ac:dyDescent="0.3">
      <c r="A41" s="40">
        <v>28</v>
      </c>
      <c r="B41" s="41" t="str">
        <f>'DATA ENTRY'!B53</f>
        <v>23-QC04799</v>
      </c>
      <c r="C41" s="42" t="str">
        <f>'DATA ENTRY'!C53</f>
        <v>SILVA, COLE KENNETH BARONA</v>
      </c>
      <c r="D41" s="43"/>
      <c r="E41" s="43"/>
      <c r="F41" s="43"/>
      <c r="G41" s="43"/>
      <c r="H41" s="43"/>
      <c r="I41" s="44" t="str">
        <f t="shared" si="0"/>
        <v>0</v>
      </c>
      <c r="J41" s="43"/>
      <c r="K41" s="43"/>
      <c r="L41" s="43"/>
      <c r="M41" s="43"/>
      <c r="N41" s="43"/>
      <c r="O41" s="44" t="str">
        <f t="shared" si="1"/>
        <v>0</v>
      </c>
      <c r="P41" s="43"/>
      <c r="Q41" s="45">
        <f t="shared" si="2"/>
        <v>0</v>
      </c>
      <c r="R41" s="40" t="e">
        <f>VLOOKUP(Q41,TGQC!$X$1:$Y$990,2)</f>
        <v>#N/A</v>
      </c>
      <c r="S41" s="40" t="e">
        <f>VLOOKUP(R41,TGQC!$H$1:$I$16,2,0)</f>
        <v>#N/A</v>
      </c>
    </row>
    <row r="42" spans="1:19" x14ac:dyDescent="0.3">
      <c r="A42" s="40">
        <v>29</v>
      </c>
      <c r="B42" s="41" t="str">
        <f>'DATA ENTRY'!B54</f>
        <v>24-QC13520</v>
      </c>
      <c r="C42" s="42" t="str">
        <f>'DATA ENTRY'!C54</f>
        <v>TAN, CHRISJAN GABRIEL SAGARIO</v>
      </c>
      <c r="D42" s="43"/>
      <c r="E42" s="43"/>
      <c r="F42" s="43"/>
      <c r="G42" s="43"/>
      <c r="H42" s="43"/>
      <c r="I42" s="44" t="str">
        <f t="shared" si="0"/>
        <v>0</v>
      </c>
      <c r="J42" s="43"/>
      <c r="K42" s="43"/>
      <c r="L42" s="43"/>
      <c r="M42" s="43"/>
      <c r="N42" s="43"/>
      <c r="O42" s="44" t="str">
        <f t="shared" si="1"/>
        <v>0</v>
      </c>
      <c r="P42" s="43"/>
      <c r="Q42" s="45">
        <f t="shared" si="2"/>
        <v>0</v>
      </c>
      <c r="R42" s="40" t="e">
        <f>VLOOKUP(Q42,TGQC!$X$1:$Y$990,2)</f>
        <v>#N/A</v>
      </c>
      <c r="S42" s="40" t="e">
        <f>VLOOKUP(R42,TGQC!$H$1:$I$16,2,0)</f>
        <v>#N/A</v>
      </c>
    </row>
    <row r="43" spans="1:19" x14ac:dyDescent="0.3">
      <c r="A43" s="40">
        <v>30</v>
      </c>
      <c r="B43" s="41" t="str">
        <f>'DATA ENTRY'!B55</f>
        <v>23-QC03657</v>
      </c>
      <c r="C43" s="42" t="str">
        <f>'DATA ENTRY'!C55</f>
        <v>TEMPORAL, O’NIELEXUS FLORES</v>
      </c>
      <c r="D43" s="43"/>
      <c r="E43" s="43"/>
      <c r="F43" s="43"/>
      <c r="G43" s="43"/>
      <c r="H43" s="43"/>
      <c r="I43" s="44" t="str">
        <f t="shared" si="0"/>
        <v>0</v>
      </c>
      <c r="J43" s="43"/>
      <c r="K43" s="43"/>
      <c r="L43" s="43"/>
      <c r="M43" s="43"/>
      <c r="N43" s="43"/>
      <c r="O43" s="44" t="str">
        <f t="shared" si="1"/>
        <v>0</v>
      </c>
      <c r="P43" s="43"/>
      <c r="Q43" s="45">
        <f t="shared" si="2"/>
        <v>0</v>
      </c>
      <c r="R43" s="40" t="e">
        <f>VLOOKUP(Q43,TGQC!$X$1:$Y$990,2)</f>
        <v>#N/A</v>
      </c>
      <c r="S43" s="40" t="e">
        <f>VLOOKUP(R43,TGQC!$H$1:$I$16,2,0)</f>
        <v>#N/A</v>
      </c>
    </row>
    <row r="44" spans="1:19" x14ac:dyDescent="0.3">
      <c r="A44" s="40">
        <v>31</v>
      </c>
      <c r="B44" s="41" t="str">
        <f>'DATA ENTRY'!B56</f>
        <v>23-QC04979</v>
      </c>
      <c r="C44" s="42" t="str">
        <f>'DATA ENTRY'!C56</f>
        <v>TULA, MALIC ANGCAS</v>
      </c>
      <c r="D44" s="43"/>
      <c r="E44" s="43"/>
      <c r="F44" s="43"/>
      <c r="G44" s="43"/>
      <c r="H44" s="43"/>
      <c r="I44" s="44" t="str">
        <f t="shared" si="0"/>
        <v>0</v>
      </c>
      <c r="J44" s="43"/>
      <c r="K44" s="43"/>
      <c r="L44" s="43"/>
      <c r="M44" s="43"/>
      <c r="N44" s="43"/>
      <c r="O44" s="44" t="str">
        <f t="shared" si="1"/>
        <v>0</v>
      </c>
      <c r="P44" s="43"/>
      <c r="Q44" s="45">
        <f t="shared" si="2"/>
        <v>0</v>
      </c>
      <c r="R44" s="40" t="e">
        <f>VLOOKUP(Q44,TGQC!$X$1:$Y$990,2)</f>
        <v>#N/A</v>
      </c>
      <c r="S44" s="40" t="e">
        <f>VLOOKUP(R44,TGQC!$H$1:$I$16,2,0)</f>
        <v>#N/A</v>
      </c>
    </row>
    <row r="45" spans="1:19" x14ac:dyDescent="0.3">
      <c r="A45" s="40">
        <v>32</v>
      </c>
      <c r="B45" s="41" t="str">
        <f>'DATA ENTRY'!B57</f>
        <v>23-QC04448</v>
      </c>
      <c r="C45" s="42" t="str">
        <f>'DATA ENTRY'!C57</f>
        <v>VALDEZ, MA. DANNIELLE LOUIESSE</v>
      </c>
      <c r="D45" s="43"/>
      <c r="E45" s="43"/>
      <c r="F45" s="43"/>
      <c r="G45" s="43"/>
      <c r="H45" s="43"/>
      <c r="I45" s="44" t="str">
        <f t="shared" si="0"/>
        <v>0</v>
      </c>
      <c r="J45" s="43"/>
      <c r="K45" s="43"/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e">
        <f>VLOOKUP(Q45,TGQC!$X$1:$Y$990,2)</f>
        <v>#N/A</v>
      </c>
      <c r="S45" s="40" t="e">
        <f>VLOOKUP(R45,TGQC!$H$1:$I$16,2,0)</f>
        <v>#N/A</v>
      </c>
    </row>
    <row r="46" spans="1:19" x14ac:dyDescent="0.3">
      <c r="A46" s="40">
        <v>33</v>
      </c>
      <c r="B46" s="41">
        <f>'DATA ENTRY'!B58</f>
        <v>0</v>
      </c>
      <c r="C46" s="42" t="str">
        <f>'DATA ENTRY'!C58</f>
        <v>hernandez</v>
      </c>
      <c r="D46" s="43"/>
      <c r="E46" s="43"/>
      <c r="F46" s="43"/>
      <c r="G46" s="43"/>
      <c r="H46" s="43"/>
      <c r="I46" s="44" t="str">
        <f t="shared" si="0"/>
        <v>0</v>
      </c>
      <c r="J46" s="43"/>
      <c r="K46" s="43"/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e">
        <f>VLOOKUP(Q46,TGQC!$X$1:$Y$990,2)</f>
        <v>#N/A</v>
      </c>
      <c r="S46" s="40" t="e">
        <f>VLOOKUP(R46,TGQC!$H$1:$I$16,2,0)</f>
        <v>#N/A</v>
      </c>
    </row>
    <row r="47" spans="1:19" x14ac:dyDescent="0.3">
      <c r="A47" s="40">
        <v>34</v>
      </c>
      <c r="B47" s="41">
        <f>'DATA ENTRY'!B59</f>
        <v>0</v>
      </c>
      <c r="C47" s="42">
        <f>'DATA ENTRY'!C59</f>
        <v>0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e">
        <f>VLOOKUP(Q47,TGQC!$X$1:$Y$990,2)</f>
        <v>#N/A</v>
      </c>
      <c r="S47" s="40" t="e">
        <f>VLOOKUP(R47,TGQC!$H$1:$I$16,2,0)</f>
        <v>#N/A</v>
      </c>
    </row>
    <row r="48" spans="1:19" x14ac:dyDescent="0.3">
      <c r="A48" s="40">
        <v>35</v>
      </c>
      <c r="B48" s="41">
        <f>'DATA ENTRY'!B60</f>
        <v>0</v>
      </c>
      <c r="C48" s="42">
        <f>'DATA ENTRY'!C60</f>
        <v>0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e">
        <f>VLOOKUP(Q48,TGQC!$X$1:$Y$990,2)</f>
        <v>#N/A</v>
      </c>
      <c r="S48" s="40" t="e">
        <f>VLOOKUP(R48,TGQC!$H$1:$I$16,2,0)</f>
        <v>#N/A</v>
      </c>
    </row>
    <row r="49" spans="1:19" x14ac:dyDescent="0.3">
      <c r="A49" s="40">
        <v>36</v>
      </c>
      <c r="B49" s="41">
        <f>'DATA ENTRY'!B61</f>
        <v>0</v>
      </c>
      <c r="C49" s="42">
        <f>'DATA ENTRY'!C61</f>
        <v>0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e">
        <f>VLOOKUP(Q49,TGQC!$X$1:$Y$990,2)</f>
        <v>#N/A</v>
      </c>
      <c r="S49" s="40" t="e">
        <f>VLOOKUP(R49,TGQC!$H$1:$I$16,2,0)</f>
        <v>#N/A</v>
      </c>
    </row>
    <row r="50" spans="1:19" x14ac:dyDescent="0.3">
      <c r="A50" s="40">
        <v>37</v>
      </c>
      <c r="B50" s="41">
        <f>'DATA ENTRY'!B62</f>
        <v>0</v>
      </c>
      <c r="C50" s="42">
        <f>'DATA ENTRY'!C62</f>
        <v>0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e">
        <f>VLOOKUP(Q50,TGQC!$X$1:$Y$990,2)</f>
        <v>#N/A</v>
      </c>
      <c r="S50" s="40" t="e">
        <f>VLOOKUP(R50,TGQC!$H$1:$I$16,2,0)</f>
        <v>#N/A</v>
      </c>
    </row>
    <row r="51" spans="1:19" x14ac:dyDescent="0.3">
      <c r="A51" s="40">
        <v>38</v>
      </c>
      <c r="B51" s="41">
        <f>'DATA ENTRY'!B63</f>
        <v>0</v>
      </c>
      <c r="C51" s="42">
        <f>'DATA ENTRY'!C63</f>
        <v>0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e">
        <f>VLOOKUP(Q51,TGQC!$X$1:$Y$990,2)</f>
        <v>#N/A</v>
      </c>
      <c r="S51" s="40" t="e">
        <f>VLOOKUP(R51,TGQC!$H$1:$I$16,2,0)</f>
        <v>#N/A</v>
      </c>
    </row>
    <row r="52" spans="1:19" x14ac:dyDescent="0.3">
      <c r="A52" s="40">
        <v>39</v>
      </c>
      <c r="B52" s="41">
        <f>'DATA ENTRY'!B64</f>
        <v>0</v>
      </c>
      <c r="C52" s="42">
        <f>'DATA ENTRY'!C64</f>
        <v>0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e">
        <f>VLOOKUP(Q52,TGQC!$X$1:$Y$990,2)</f>
        <v>#N/A</v>
      </c>
      <c r="S52" s="40" t="e">
        <f>VLOOKUP(R52,TGQC!$H$1:$I$16,2,0)</f>
        <v>#N/A</v>
      </c>
    </row>
    <row r="53" spans="1:19" x14ac:dyDescent="0.3">
      <c r="A53" s="40">
        <v>40</v>
      </c>
      <c r="B53" s="41">
        <f>'DATA ENTRY'!B65</f>
        <v>0</v>
      </c>
      <c r="C53" s="42">
        <f>'DATA ENTRY'!C65</f>
        <v>0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e">
        <f>VLOOKUP(Q53,TGQC!$X$1:$Y$990,2)</f>
        <v>#N/A</v>
      </c>
      <c r="S53" s="40" t="e">
        <f>VLOOKUP(R53,TGQC!$H$1:$I$16,2,0)</f>
        <v>#N/A</v>
      </c>
    </row>
    <row r="54" spans="1:19" x14ac:dyDescent="0.3">
      <c r="A54" s="40">
        <v>41</v>
      </c>
      <c r="B54" s="41">
        <f>'DATA ENTRY'!B66</f>
        <v>0</v>
      </c>
      <c r="C54" s="42">
        <f>'DATA ENTRY'!C66</f>
        <v>0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e">
        <f>VLOOKUP(Q54,TGQC!$X$1:$Y$990,2)</f>
        <v>#N/A</v>
      </c>
      <c r="S54" s="40" t="e">
        <f>VLOOKUP(R54,TGQC!$H$1:$I$16,2,0)</f>
        <v>#N/A</v>
      </c>
    </row>
    <row r="55" spans="1:19" x14ac:dyDescent="0.3">
      <c r="A55" s="40">
        <v>42</v>
      </c>
      <c r="B55" s="41">
        <f>'DATA ENTRY'!B67</f>
        <v>0</v>
      </c>
      <c r="C55" s="42">
        <f>'DATA ENTRY'!C67</f>
        <v>0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e">
        <f>VLOOKUP(Q55,TGQC!$X$1:$Y$990,2)</f>
        <v>#N/A</v>
      </c>
      <c r="S55" s="40" t="e">
        <f>VLOOKUP(R55,TGQC!$H$1:$I$16,2,0)</f>
        <v>#N/A</v>
      </c>
    </row>
    <row r="56" spans="1:19" x14ac:dyDescent="0.3">
      <c r="A56" s="40">
        <v>43</v>
      </c>
      <c r="B56" s="41">
        <f>'DATA ENTRY'!B68</f>
        <v>0</v>
      </c>
      <c r="C56" s="42">
        <f>'DATA ENTRY'!C68</f>
        <v>0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e">
        <f>VLOOKUP(Q56,TGQC!$X$1:$Y$990,2)</f>
        <v>#N/A</v>
      </c>
      <c r="S56" s="40" t="e">
        <f>VLOOKUP(R56,TGQC!$H$1:$I$16,2,0)</f>
        <v>#N/A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48"/>
    </row>
    <row r="115" spans="1:19" x14ac:dyDescent="0.3">
      <c r="M115" s="47"/>
      <c r="N115" s="47"/>
      <c r="O115" s="48"/>
      <c r="P115" s="48"/>
      <c r="Q115" s="48"/>
    </row>
    <row r="116" spans="1:19" x14ac:dyDescent="0.3">
      <c r="M116" s="47"/>
      <c r="N116" s="47"/>
      <c r="O116" s="48"/>
      <c r="P116" s="48"/>
      <c r="Q116" s="48"/>
    </row>
  </sheetData>
  <sheetProtection algorithmName="SHA-512" hashValue="3oAavCEEf+yhOfvU0qdWFZil9h7iaO3i5aL7ihCoJkVNpmGvXDU3EPTs/dV3IgFZde4WsD/wn0egS2rnruNknQ==" saltValue="t1XQhtk0M/SApP7c4NoMpg==" spinCount="100000" sheet="1" objects="1" scenarios="1"/>
  <mergeCells count="22">
    <mergeCell ref="I12:I13"/>
    <mergeCell ref="P12:P13"/>
    <mergeCell ref="Q12:Q13"/>
    <mergeCell ref="R12:R13"/>
    <mergeCell ref="S12:S13"/>
    <mergeCell ref="K6:M6"/>
    <mergeCell ref="Q6:R6"/>
    <mergeCell ref="K7:M7"/>
    <mergeCell ref="K8:M8"/>
    <mergeCell ref="J12:N12"/>
    <mergeCell ref="O12:O13"/>
    <mergeCell ref="C9:H9"/>
    <mergeCell ref="A12:A13"/>
    <mergeCell ref="B12:B13"/>
    <mergeCell ref="C12:C13"/>
    <mergeCell ref="D12:H12"/>
    <mergeCell ref="A1:S1"/>
    <mergeCell ref="A2:S2"/>
    <mergeCell ref="A3:S3"/>
    <mergeCell ref="A4:S4"/>
    <mergeCell ref="K5:M5"/>
    <mergeCell ref="Q5:R5"/>
  </mergeCells>
  <conditionalFormatting sqref="D14:H113">
    <cfRule type="containsBlanks" dxfId="23" priority="3">
      <formula>LEN(TRIM(D14))=0</formula>
    </cfRule>
  </conditionalFormatting>
  <conditionalFormatting sqref="J14:N113">
    <cfRule type="containsBlanks" dxfId="22" priority="2">
      <formula>LEN(TRIM(J14))=0</formula>
    </cfRule>
  </conditionalFormatting>
  <conditionalFormatting sqref="P14:P113">
    <cfRule type="containsBlanks" dxfId="21" priority="1">
      <formula>LEN(TRIM(P14))=0</formula>
    </cfRule>
  </conditionalFormatting>
  <conditionalFormatting sqref="R14:S113">
    <cfRule type="containsErrors" dxfId="20" priority="8">
      <formula>ISERROR(R14)</formula>
    </cfRule>
  </conditionalFormatting>
  <conditionalFormatting sqref="S14:S113">
    <cfRule type="containsText" dxfId="19" priority="11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2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15"/>
  <sheetViews>
    <sheetView showGridLines="0" view="pageBreakPreview" topLeftCell="A5" zoomScale="130" zoomScaleNormal="145" zoomScaleSheetLayoutView="130" workbookViewId="0">
      <selection activeCell="E44" sqref="E44"/>
    </sheetView>
  </sheetViews>
  <sheetFormatPr defaultColWidth="9.21875" defaultRowHeight="13.2" x14ac:dyDescent="0.3"/>
  <cols>
    <col min="1" max="1" width="5.6640625" style="34" customWidth="1"/>
    <col min="2" max="2" width="10.6640625" style="34" customWidth="1"/>
    <col min="3" max="3" width="33.77734375" style="34" customWidth="1"/>
    <col min="4" max="16" width="3.6640625" style="31" customWidth="1"/>
    <col min="17" max="17" width="5.6640625" style="59" customWidth="1"/>
    <col min="18" max="18" width="5.44140625" style="31" customWidth="1"/>
    <col min="19" max="19" width="9.77734375" style="31" customWidth="1"/>
    <col min="20" max="20" width="8.77734375" style="31" customWidth="1"/>
    <col min="21" max="16384" width="9.21875" style="31"/>
  </cols>
  <sheetData>
    <row r="1" spans="1:20" ht="17.399999999999999" x14ac:dyDescent="0.3">
      <c r="A1" s="83" t="s">
        <v>24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30"/>
    </row>
    <row r="2" spans="1:20" ht="14.4" x14ac:dyDescent="0.3">
      <c r="A2" s="85" t="str">
        <f>'DATA ENTRY'!E6</f>
        <v>Antipolo City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32"/>
    </row>
    <row r="3" spans="1:20" x14ac:dyDescent="0.3">
      <c r="A3" s="86" t="s">
        <v>22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34"/>
    </row>
    <row r="4" spans="1:20" x14ac:dyDescent="0.3">
      <c r="A4" s="88" t="s">
        <v>26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33"/>
    </row>
    <row r="5" spans="1:20" x14ac:dyDescent="0.3">
      <c r="B5" s="35" t="s">
        <v>103</v>
      </c>
      <c r="C5" s="36">
        <f>'DATA ENTRY'!$E$9</f>
        <v>0</v>
      </c>
      <c r="J5" s="35" t="s">
        <v>107</v>
      </c>
      <c r="K5" s="89">
        <f>'DATA ENTRY'!$C$18</f>
        <v>0</v>
      </c>
      <c r="L5" s="89"/>
      <c r="M5" s="89"/>
      <c r="P5" s="35" t="s">
        <v>111</v>
      </c>
      <c r="Q5" s="89">
        <f>'DATA ENTRY'!C21</f>
        <v>0</v>
      </c>
      <c r="R5" s="89"/>
    </row>
    <row r="6" spans="1:20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89">
        <f>'DATA ENTRY'!$C$19</f>
        <v>0</v>
      </c>
      <c r="L6" s="89"/>
      <c r="M6" s="89"/>
      <c r="P6" s="35" t="s">
        <v>112</v>
      </c>
      <c r="Q6" s="89">
        <f>'DATA ENTRY'!E13</f>
        <v>0</v>
      </c>
      <c r="R6" s="89"/>
    </row>
    <row r="7" spans="1:20" x14ac:dyDescent="0.3">
      <c r="B7" s="35" t="s">
        <v>104</v>
      </c>
      <c r="C7" s="36">
        <f>'DATA ENTRY'!$C$11</f>
        <v>0</v>
      </c>
      <c r="J7" s="35" t="s">
        <v>109</v>
      </c>
      <c r="K7" s="89">
        <f>'DATA ENTRY'!C20</f>
        <v>0</v>
      </c>
      <c r="L7" s="89"/>
      <c r="M7" s="89"/>
    </row>
    <row r="8" spans="1:20" x14ac:dyDescent="0.3">
      <c r="B8" s="35" t="s">
        <v>105</v>
      </c>
      <c r="C8" s="36">
        <f>'DATA ENTRY'!$C$12</f>
        <v>0</v>
      </c>
      <c r="J8" s="35" t="s">
        <v>110</v>
      </c>
      <c r="K8" s="89">
        <f>'DATA ENTRY'!C10</f>
        <v>0</v>
      </c>
      <c r="L8" s="89"/>
      <c r="M8" s="89"/>
    </row>
    <row r="9" spans="1:20" x14ac:dyDescent="0.3">
      <c r="B9" s="35" t="s">
        <v>106</v>
      </c>
      <c r="C9" s="89">
        <f>'DATA ENTRY'!$C$13</f>
        <v>0</v>
      </c>
      <c r="D9" s="89"/>
      <c r="E9" s="89"/>
      <c r="F9" s="89"/>
      <c r="G9" s="89"/>
      <c r="H9" s="89"/>
      <c r="J9" s="37"/>
    </row>
    <row r="10" spans="1:20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20" ht="20.25" customHeight="1" x14ac:dyDescent="0.3">
      <c r="A12" s="75" t="s">
        <v>27</v>
      </c>
      <c r="B12" s="75" t="s">
        <v>28</v>
      </c>
      <c r="C12" s="75" t="s">
        <v>5</v>
      </c>
      <c r="D12" s="77" t="s">
        <v>91</v>
      </c>
      <c r="E12" s="77"/>
      <c r="F12" s="77"/>
      <c r="G12" s="77"/>
      <c r="H12" s="77"/>
      <c r="I12" s="78" t="s">
        <v>92</v>
      </c>
      <c r="J12" s="77" t="s">
        <v>10</v>
      </c>
      <c r="K12" s="80"/>
      <c r="L12" s="80"/>
      <c r="M12" s="80"/>
      <c r="N12" s="80"/>
      <c r="O12" s="78" t="s">
        <v>92</v>
      </c>
      <c r="P12" s="81" t="s">
        <v>99</v>
      </c>
      <c r="Q12" s="71" t="s">
        <v>21</v>
      </c>
      <c r="R12" s="73" t="s">
        <v>20</v>
      </c>
      <c r="S12" s="73" t="s">
        <v>9</v>
      </c>
      <c r="T12" s="73" t="s">
        <v>51</v>
      </c>
    </row>
    <row r="13" spans="1:20" ht="103.5" customHeight="1" x14ac:dyDescent="0.3">
      <c r="A13" s="76"/>
      <c r="B13" s="76"/>
      <c r="C13" s="76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79"/>
      <c r="J13" s="39"/>
      <c r="K13" s="39"/>
      <c r="L13" s="39"/>
      <c r="M13" s="39"/>
      <c r="N13" s="39"/>
      <c r="O13" s="79"/>
      <c r="P13" s="82"/>
      <c r="Q13" s="72"/>
      <c r="R13" s="74"/>
      <c r="S13" s="74"/>
      <c r="T13" s="74"/>
    </row>
    <row r="14" spans="1:20" x14ac:dyDescent="0.3">
      <c r="A14" s="40">
        <v>1</v>
      </c>
      <c r="B14" s="41" t="str">
        <f>'DATA ENTRY'!B26</f>
        <v>23-QC04797</v>
      </c>
      <c r="C14" s="41" t="str">
        <f>'DATA ENTRY'!C26</f>
        <v>ABOL, ROLAND CARL SANTIAGO</v>
      </c>
      <c r="D14" s="43">
        <v>75</v>
      </c>
      <c r="E14" s="43">
        <v>88</v>
      </c>
      <c r="F14" s="43"/>
      <c r="G14" s="43"/>
      <c r="H14" s="43"/>
      <c r="I14" s="44">
        <f>IFERROR(AVERAGE(D14:H14),"0")</f>
        <v>81.5</v>
      </c>
      <c r="J14" s="43" t="s">
        <v>122</v>
      </c>
      <c r="K14" s="43" t="s">
        <v>121</v>
      </c>
      <c r="L14" s="43">
        <v>80</v>
      </c>
      <c r="M14" s="43"/>
      <c r="N14" s="43"/>
      <c r="O14" s="44">
        <f>IFERROR(AVERAGE(J14:N14),"0")</f>
        <v>80</v>
      </c>
      <c r="P14" s="43">
        <v>80</v>
      </c>
      <c r="Q14" s="45">
        <f>SUM(I14,O14,P14)/3</f>
        <v>80.5</v>
      </c>
      <c r="R14" s="40">
        <f>IFERROR(VLOOKUP(Q14,TGQC!$X$1:$Y$990,2),"0")</f>
        <v>2.5</v>
      </c>
      <c r="S14" s="40" t="str">
        <f>VLOOKUP(R14&amp;"-"&amp;T14,TGQC!$N$1:$Q$56,4,0)</f>
        <v>Passed</v>
      </c>
      <c r="T14" s="43"/>
    </row>
    <row r="15" spans="1:20" x14ac:dyDescent="0.3">
      <c r="A15" s="40">
        <v>2</v>
      </c>
      <c r="B15" s="41" t="str">
        <f>'DATA ENTRY'!B27</f>
        <v>23-QC05073</v>
      </c>
      <c r="C15" s="41" t="str">
        <f>'DATA ENTRY'!C27</f>
        <v>AGUINALDO, ANGELO NIKHAIL SAN DIEGO</v>
      </c>
      <c r="D15" s="43">
        <v>98</v>
      </c>
      <c r="E15" s="43">
        <v>90</v>
      </c>
      <c r="F15" s="43"/>
      <c r="G15" s="43"/>
      <c r="H15" s="43"/>
      <c r="I15" s="44">
        <f t="shared" ref="I15:I78" si="0">IFERROR(AVERAGE(D15:H15),"0")</f>
        <v>94</v>
      </c>
      <c r="J15" s="43" t="s">
        <v>121</v>
      </c>
      <c r="K15" s="43" t="s">
        <v>121</v>
      </c>
      <c r="L15" s="43">
        <v>85</v>
      </c>
      <c r="M15" s="43"/>
      <c r="N15" s="43"/>
      <c r="O15" s="44">
        <f t="shared" ref="O15:O78" si="1">IFERROR(AVERAGE(J15:N15),"0")</f>
        <v>85</v>
      </c>
      <c r="P15" s="43">
        <v>85</v>
      </c>
      <c r="Q15" s="45">
        <f t="shared" ref="Q15:Q78" si="2">SUM(I15,O15,P15)/3</f>
        <v>88</v>
      </c>
      <c r="R15" s="40">
        <f>IFERROR(VLOOKUP(Q15,TGQC!$X$1:$Y$990,2),"0")</f>
        <v>2</v>
      </c>
      <c r="S15" s="40" t="str">
        <f>VLOOKUP(R15&amp;"-"&amp;T15,TGQC!$N$1:$Q$56,4,0)</f>
        <v>Passed</v>
      </c>
      <c r="T15" s="43"/>
    </row>
    <row r="16" spans="1:20" x14ac:dyDescent="0.3">
      <c r="A16" s="40">
        <v>3</v>
      </c>
      <c r="B16" s="41" t="str">
        <f>'DATA ENTRY'!B28</f>
        <v>23-QC03798</v>
      </c>
      <c r="C16" s="41" t="str">
        <f>'DATA ENTRY'!C28</f>
        <v>BULUSAN, MA. CHRISTINA AVIEGAIL CABARUAN</v>
      </c>
      <c r="D16" s="43">
        <v>100</v>
      </c>
      <c r="E16" s="43">
        <v>100</v>
      </c>
      <c r="F16" s="43"/>
      <c r="G16" s="43"/>
      <c r="H16" s="43"/>
      <c r="I16" s="44">
        <f t="shared" si="0"/>
        <v>100</v>
      </c>
      <c r="J16" s="43" t="s">
        <v>121</v>
      </c>
      <c r="K16" s="43" t="s">
        <v>121</v>
      </c>
      <c r="L16" s="43">
        <v>100</v>
      </c>
      <c r="M16" s="43"/>
      <c r="N16" s="43"/>
      <c r="O16" s="44">
        <f t="shared" si="1"/>
        <v>100</v>
      </c>
      <c r="P16" s="43">
        <v>100</v>
      </c>
      <c r="Q16" s="45">
        <f t="shared" si="2"/>
        <v>100</v>
      </c>
      <c r="R16" s="40">
        <f>IFERROR(VLOOKUP(Q16,TGQC!$X$1:$Y$990,2),"0")</f>
        <v>1</v>
      </c>
      <c r="S16" s="40" t="str">
        <f>VLOOKUP(R16&amp;"-"&amp;T16,TGQC!$N$1:$Q$56,4,0)</f>
        <v>Passed</v>
      </c>
      <c r="T16" s="43"/>
    </row>
    <row r="17" spans="1:20" x14ac:dyDescent="0.3">
      <c r="A17" s="40">
        <v>4</v>
      </c>
      <c r="B17" s="41" t="str">
        <f>'DATA ENTRY'!B29</f>
        <v>23-QC03776</v>
      </c>
      <c r="C17" s="41" t="str">
        <f>'DATA ENTRY'!C29</f>
        <v>CAASI, SHAWN DHELRIC</v>
      </c>
      <c r="D17" s="43">
        <v>100</v>
      </c>
      <c r="E17" s="43">
        <v>98</v>
      </c>
      <c r="F17" s="43"/>
      <c r="G17" s="43"/>
      <c r="H17" s="43"/>
      <c r="I17" s="44">
        <f t="shared" si="0"/>
        <v>99</v>
      </c>
      <c r="J17" s="43" t="s">
        <v>121</v>
      </c>
      <c r="K17" s="43" t="s">
        <v>121</v>
      </c>
      <c r="L17" s="43">
        <v>100</v>
      </c>
      <c r="M17" s="43"/>
      <c r="N17" s="43"/>
      <c r="O17" s="44">
        <f t="shared" si="1"/>
        <v>100</v>
      </c>
      <c r="P17" s="43">
        <v>100</v>
      </c>
      <c r="Q17" s="45">
        <f t="shared" si="2"/>
        <v>99.666666666666671</v>
      </c>
      <c r="R17" s="40">
        <f>IFERROR(VLOOKUP(Q17,TGQC!$X$1:$Y$990,2),"0")</f>
        <v>1</v>
      </c>
      <c r="S17" s="40" t="str">
        <f>VLOOKUP(R17&amp;"-"&amp;T17,TGQC!$N$1:$Q$56,4,0)</f>
        <v>Passed</v>
      </c>
      <c r="T17" s="43"/>
    </row>
    <row r="18" spans="1:20" x14ac:dyDescent="0.3">
      <c r="A18" s="40">
        <v>5</v>
      </c>
      <c r="B18" s="41" t="str">
        <f>'DATA ENTRY'!B30</f>
        <v>23-QC04290</v>
      </c>
      <c r="C18" s="41" t="str">
        <f>'DATA ENTRY'!C30</f>
        <v>CATAAG, MARK LEONY BALUBAR</v>
      </c>
      <c r="D18" s="43">
        <v>85</v>
      </c>
      <c r="E18" s="43">
        <v>75</v>
      </c>
      <c r="F18" s="43"/>
      <c r="G18" s="43"/>
      <c r="H18" s="43"/>
      <c r="I18" s="44">
        <f t="shared" si="0"/>
        <v>80</v>
      </c>
      <c r="J18" s="43" t="s">
        <v>122</v>
      </c>
      <c r="K18" s="43" t="s">
        <v>122</v>
      </c>
      <c r="L18" s="43">
        <v>80</v>
      </c>
      <c r="M18" s="43"/>
      <c r="N18" s="43"/>
      <c r="O18" s="44">
        <f t="shared" si="1"/>
        <v>80</v>
      </c>
      <c r="P18" s="43">
        <v>80</v>
      </c>
      <c r="Q18" s="45">
        <f t="shared" si="2"/>
        <v>80</v>
      </c>
      <c r="R18" s="40">
        <f>IFERROR(VLOOKUP(Q18,TGQC!$X$1:$Y$990,2),"0")</f>
        <v>2.5</v>
      </c>
      <c r="S18" s="40" t="str">
        <f>VLOOKUP(R18&amp;"-"&amp;T18,TGQC!$N$1:$Q$56,4,0)</f>
        <v>Passed</v>
      </c>
      <c r="T18" s="43"/>
    </row>
    <row r="19" spans="1:20" x14ac:dyDescent="0.3">
      <c r="A19" s="40">
        <v>6</v>
      </c>
      <c r="B19" s="41" t="str">
        <f>'DATA ENTRY'!B31</f>
        <v>23-QC03565</v>
      </c>
      <c r="C19" s="41" t="str">
        <f>'DATA ENTRY'!C31</f>
        <v>CUNANAN, JASMINE MAE TIPRADO</v>
      </c>
      <c r="D19" s="43">
        <v>85</v>
      </c>
      <c r="E19" s="43">
        <v>88</v>
      </c>
      <c r="F19" s="43"/>
      <c r="G19" s="43"/>
      <c r="H19" s="43"/>
      <c r="I19" s="44">
        <f t="shared" si="0"/>
        <v>86.5</v>
      </c>
      <c r="J19" s="43" t="s">
        <v>121</v>
      </c>
      <c r="K19" s="43" t="s">
        <v>121</v>
      </c>
      <c r="L19" s="43">
        <v>80</v>
      </c>
      <c r="M19" s="43"/>
      <c r="N19" s="43"/>
      <c r="O19" s="44">
        <f t="shared" si="1"/>
        <v>80</v>
      </c>
      <c r="P19" s="43">
        <v>80</v>
      </c>
      <c r="Q19" s="45">
        <f t="shared" si="2"/>
        <v>82.166666666666671</v>
      </c>
      <c r="R19" s="40">
        <f>IFERROR(VLOOKUP(Q19,TGQC!$X$1:$Y$990,2),"0")</f>
        <v>2.5</v>
      </c>
      <c r="S19" s="40" t="str">
        <f>VLOOKUP(R19&amp;"-"&amp;T19,TGQC!$N$1:$Q$56,4,0)</f>
        <v>Passed</v>
      </c>
      <c r="T19" s="43"/>
    </row>
    <row r="20" spans="1:20" x14ac:dyDescent="0.3">
      <c r="A20" s="40">
        <v>7</v>
      </c>
      <c r="B20" s="41" t="str">
        <f>'DATA ENTRY'!B32</f>
        <v>23-QC04656</v>
      </c>
      <c r="C20" s="41" t="str">
        <f>'DATA ENTRY'!C32</f>
        <v>DE GUZMAN, ESPRIT DATUL</v>
      </c>
      <c r="D20" s="43">
        <v>75</v>
      </c>
      <c r="E20" s="43">
        <v>85</v>
      </c>
      <c r="F20" s="43"/>
      <c r="G20" s="43"/>
      <c r="H20" s="43"/>
      <c r="I20" s="44">
        <f t="shared" si="0"/>
        <v>80</v>
      </c>
      <c r="J20" s="43" t="s">
        <v>121</v>
      </c>
      <c r="K20" s="43" t="s">
        <v>122</v>
      </c>
      <c r="L20" s="43">
        <v>75</v>
      </c>
      <c r="M20" s="43"/>
      <c r="N20" s="43"/>
      <c r="O20" s="44">
        <f t="shared" si="1"/>
        <v>75</v>
      </c>
      <c r="P20" s="43">
        <v>75</v>
      </c>
      <c r="Q20" s="45">
        <f t="shared" si="2"/>
        <v>76.666666666666671</v>
      </c>
      <c r="R20" s="40">
        <f>IFERROR(VLOOKUP(Q20,TGQC!$X$1:$Y$990,2),"0")</f>
        <v>2.75</v>
      </c>
      <c r="S20" s="40" t="str">
        <f>VLOOKUP(R20&amp;"-"&amp;T20,TGQC!$N$1:$Q$56,4,0)</f>
        <v>Passed</v>
      </c>
      <c r="T20" s="43"/>
    </row>
    <row r="21" spans="1:20" x14ac:dyDescent="0.3">
      <c r="A21" s="40">
        <v>8</v>
      </c>
      <c r="B21" s="41" t="str">
        <f>'DATA ENTRY'!B33</f>
        <v>23-QC04262</v>
      </c>
      <c r="C21" s="41" t="str">
        <f>'DATA ENTRY'!C33</f>
        <v>DE GUZMAN, JONATHAN EARL COPRADO</v>
      </c>
      <c r="D21" s="43">
        <v>94</v>
      </c>
      <c r="E21" s="43">
        <v>88</v>
      </c>
      <c r="F21" s="43"/>
      <c r="G21" s="43"/>
      <c r="H21" s="43"/>
      <c r="I21" s="44">
        <f t="shared" si="0"/>
        <v>91</v>
      </c>
      <c r="J21" s="43" t="s">
        <v>122</v>
      </c>
      <c r="K21" s="43" t="s">
        <v>122</v>
      </c>
      <c r="L21" s="43">
        <v>80</v>
      </c>
      <c r="M21" s="43"/>
      <c r="N21" s="43"/>
      <c r="O21" s="44">
        <f t="shared" si="1"/>
        <v>80</v>
      </c>
      <c r="P21" s="43">
        <v>80</v>
      </c>
      <c r="Q21" s="45">
        <f t="shared" si="2"/>
        <v>83.666666666666671</v>
      </c>
      <c r="R21" s="40">
        <f>IFERROR(VLOOKUP(Q21,TGQC!$X$1:$Y$990,2),"0")</f>
        <v>2.25</v>
      </c>
      <c r="S21" s="40" t="str">
        <f>VLOOKUP(R21&amp;"-"&amp;T21,TGQC!$N$1:$Q$56,4,0)</f>
        <v>Passed</v>
      </c>
      <c r="T21" s="43"/>
    </row>
    <row r="22" spans="1:20" x14ac:dyDescent="0.3">
      <c r="A22" s="40">
        <v>9</v>
      </c>
      <c r="B22" s="41" t="str">
        <f>'DATA ENTRY'!B34</f>
        <v>23-QC02958</v>
      </c>
      <c r="C22" s="41" t="str">
        <f>'DATA ENTRY'!C34</f>
        <v>DE VEGA, DENBER REYES</v>
      </c>
      <c r="D22" s="43">
        <v>94</v>
      </c>
      <c r="E22" s="43">
        <v>85</v>
      </c>
      <c r="F22" s="43"/>
      <c r="G22" s="43"/>
      <c r="H22" s="43"/>
      <c r="I22" s="44">
        <f t="shared" si="0"/>
        <v>89.5</v>
      </c>
      <c r="J22" s="43" t="s">
        <v>122</v>
      </c>
      <c r="K22" s="43" t="s">
        <v>122</v>
      </c>
      <c r="L22" s="43">
        <v>75</v>
      </c>
      <c r="M22" s="43"/>
      <c r="N22" s="43"/>
      <c r="O22" s="44">
        <f t="shared" si="1"/>
        <v>75</v>
      </c>
      <c r="P22" s="43">
        <v>75</v>
      </c>
      <c r="Q22" s="45">
        <f t="shared" si="2"/>
        <v>79.833333333333329</v>
      </c>
      <c r="R22" s="40">
        <f>IFERROR(VLOOKUP(Q22,TGQC!$X$1:$Y$990,2),"0")</f>
        <v>2.5</v>
      </c>
      <c r="S22" s="40" t="str">
        <f>VLOOKUP(R22&amp;"-"&amp;T22,TGQC!$N$1:$Q$56,4,0)</f>
        <v>Passed</v>
      </c>
      <c r="T22" s="43"/>
    </row>
    <row r="23" spans="1:20" x14ac:dyDescent="0.3">
      <c r="A23" s="40">
        <v>10</v>
      </c>
      <c r="B23" s="41" t="str">
        <f>'DATA ENTRY'!B35</f>
        <v>23-QC02881</v>
      </c>
      <c r="C23" s="41" t="str">
        <f>'DATA ENTRY'!C35</f>
        <v>ESPIRITU, VHYNCE ARNOLD AZUL</v>
      </c>
      <c r="D23" s="43">
        <v>70</v>
      </c>
      <c r="E23" s="43">
        <v>70</v>
      </c>
      <c r="F23" s="43"/>
      <c r="G23" s="43"/>
      <c r="H23" s="43"/>
      <c r="I23" s="44">
        <f t="shared" si="0"/>
        <v>70</v>
      </c>
      <c r="J23" s="43" t="s">
        <v>121</v>
      </c>
      <c r="K23" s="43" t="s">
        <v>122</v>
      </c>
      <c r="L23" s="43">
        <v>75</v>
      </c>
      <c r="M23" s="43"/>
      <c r="N23" s="43"/>
      <c r="O23" s="44">
        <f t="shared" si="1"/>
        <v>75</v>
      </c>
      <c r="P23" s="43">
        <v>75</v>
      </c>
      <c r="Q23" s="45">
        <f t="shared" si="2"/>
        <v>73.333333333333329</v>
      </c>
      <c r="R23" s="40">
        <f>IFERROR(VLOOKUP(Q23,TGQC!$X$1:$Y$990,2),"0")</f>
        <v>5</v>
      </c>
      <c r="S23" s="40" t="str">
        <f>VLOOKUP(R23&amp;"-"&amp;T23,TGQC!$N$1:$Q$56,4,0)</f>
        <v>Failed</v>
      </c>
      <c r="T23" s="43"/>
    </row>
    <row r="24" spans="1:20" x14ac:dyDescent="0.3">
      <c r="A24" s="40">
        <v>11</v>
      </c>
      <c r="B24" s="41" t="str">
        <f>'DATA ENTRY'!B36</f>
        <v>23-QC02960</v>
      </c>
      <c r="C24" s="41" t="str">
        <f>'DATA ENTRY'!C36</f>
        <v>GADIER, JOHN ENRICK ROBERTO</v>
      </c>
      <c r="D24" s="43">
        <v>94</v>
      </c>
      <c r="E24" s="43">
        <v>90</v>
      </c>
      <c r="F24" s="43"/>
      <c r="G24" s="43"/>
      <c r="H24" s="43"/>
      <c r="I24" s="44">
        <f t="shared" si="0"/>
        <v>92</v>
      </c>
      <c r="J24" s="43" t="s">
        <v>121</v>
      </c>
      <c r="K24" s="43" t="s">
        <v>121</v>
      </c>
      <c r="L24" s="43">
        <v>93</v>
      </c>
      <c r="M24" s="43"/>
      <c r="N24" s="43"/>
      <c r="O24" s="44">
        <f t="shared" si="1"/>
        <v>93</v>
      </c>
      <c r="P24" s="43">
        <v>93</v>
      </c>
      <c r="Q24" s="45">
        <f t="shared" si="2"/>
        <v>92.666666666666671</v>
      </c>
      <c r="R24" s="40">
        <f>IFERROR(VLOOKUP(Q24,TGQC!$X$1:$Y$990,2),"0")</f>
        <v>1.5</v>
      </c>
      <c r="S24" s="40" t="str">
        <f>VLOOKUP(R24&amp;"-"&amp;T24,TGQC!$N$1:$Q$56,4,0)</f>
        <v>Passed</v>
      </c>
      <c r="T24" s="43"/>
    </row>
    <row r="25" spans="1:20" x14ac:dyDescent="0.3">
      <c r="A25" s="40">
        <v>12</v>
      </c>
      <c r="B25" s="41" t="str">
        <f>'DATA ENTRY'!B37</f>
        <v>23-QC04082</v>
      </c>
      <c r="C25" s="41" t="str">
        <f>'DATA ENTRY'!C37</f>
        <v>GROSPE, KC SALGADO</v>
      </c>
      <c r="D25" s="43">
        <v>80</v>
      </c>
      <c r="E25" s="43">
        <v>96</v>
      </c>
      <c r="F25" s="43"/>
      <c r="G25" s="43"/>
      <c r="H25" s="43"/>
      <c r="I25" s="44">
        <f t="shared" si="0"/>
        <v>88</v>
      </c>
      <c r="J25" s="43" t="s">
        <v>122</v>
      </c>
      <c r="K25" s="43" t="s">
        <v>121</v>
      </c>
      <c r="L25" s="43">
        <v>100</v>
      </c>
      <c r="M25" s="43"/>
      <c r="N25" s="43"/>
      <c r="O25" s="44">
        <f t="shared" si="1"/>
        <v>100</v>
      </c>
      <c r="P25" s="43">
        <v>100</v>
      </c>
      <c r="Q25" s="45">
        <f t="shared" si="2"/>
        <v>96</v>
      </c>
      <c r="R25" s="40">
        <f>IFERROR(VLOOKUP(Q25,TGQC!$X$1:$Y$990,2),"0")</f>
        <v>1.25</v>
      </c>
      <c r="S25" s="40" t="str">
        <f>VLOOKUP(R25&amp;"-"&amp;T25,TGQC!$N$1:$Q$56,4,0)</f>
        <v>Passed</v>
      </c>
      <c r="T25" s="43"/>
    </row>
    <row r="26" spans="1:20" x14ac:dyDescent="0.3">
      <c r="A26" s="40">
        <v>13</v>
      </c>
      <c r="B26" s="41" t="str">
        <f>'DATA ENTRY'!B38</f>
        <v>23-QC04267</v>
      </c>
      <c r="C26" s="41" t="str">
        <f>'DATA ENTRY'!C38</f>
        <v>IGNACIO, RENIEL ELIZALDE RAMOS</v>
      </c>
      <c r="D26" s="43">
        <v>94</v>
      </c>
      <c r="E26" s="43">
        <v>97</v>
      </c>
      <c r="F26" s="43"/>
      <c r="G26" s="43"/>
      <c r="H26" s="43"/>
      <c r="I26" s="44">
        <f t="shared" si="0"/>
        <v>95.5</v>
      </c>
      <c r="J26" s="43" t="s">
        <v>121</v>
      </c>
      <c r="K26" s="43" t="s">
        <v>121</v>
      </c>
      <c r="L26" s="43">
        <v>87</v>
      </c>
      <c r="M26" s="43"/>
      <c r="N26" s="43"/>
      <c r="O26" s="44">
        <f t="shared" si="1"/>
        <v>87</v>
      </c>
      <c r="P26" s="43">
        <v>87</v>
      </c>
      <c r="Q26" s="45">
        <f t="shared" si="2"/>
        <v>89.833333333333329</v>
      </c>
      <c r="R26" s="40">
        <f>IFERROR(VLOOKUP(Q26,TGQC!$X$1:$Y$990,2),"0")</f>
        <v>1.75</v>
      </c>
      <c r="S26" s="40" t="str">
        <f>VLOOKUP(R26&amp;"-"&amp;T26,TGQC!$N$1:$Q$56,4,0)</f>
        <v>Passed</v>
      </c>
      <c r="T26" s="43"/>
    </row>
    <row r="27" spans="1:20" x14ac:dyDescent="0.3">
      <c r="A27" s="40">
        <v>14</v>
      </c>
      <c r="B27" s="41" t="str">
        <f>'DATA ENTRY'!B39</f>
        <v>23-QC04131</v>
      </c>
      <c r="C27" s="41" t="str">
        <f>'DATA ENTRY'!C39</f>
        <v>KIM, TSUYOSHI C</v>
      </c>
      <c r="D27" s="43">
        <v>99</v>
      </c>
      <c r="E27" s="43">
        <v>100</v>
      </c>
      <c r="F27" s="43"/>
      <c r="G27" s="43"/>
      <c r="H27" s="43"/>
      <c r="I27" s="44">
        <f t="shared" si="0"/>
        <v>99.5</v>
      </c>
      <c r="J27" s="43" t="s">
        <v>121</v>
      </c>
      <c r="K27" s="43" t="s">
        <v>121</v>
      </c>
      <c r="L27" s="43">
        <v>97</v>
      </c>
      <c r="M27" s="43"/>
      <c r="N27" s="43"/>
      <c r="O27" s="44">
        <f t="shared" si="1"/>
        <v>97</v>
      </c>
      <c r="P27" s="43">
        <v>97</v>
      </c>
      <c r="Q27" s="45">
        <f t="shared" si="2"/>
        <v>97.833333333333329</v>
      </c>
      <c r="R27" s="40">
        <f>IFERROR(VLOOKUP(Q27,TGQC!$X$1:$Y$990,2),"0")</f>
        <v>1</v>
      </c>
      <c r="S27" s="40" t="str">
        <f>VLOOKUP(R27&amp;"-"&amp;T27,TGQC!$N$1:$Q$56,4,0)</f>
        <v>Passed</v>
      </c>
      <c r="T27" s="43"/>
    </row>
    <row r="28" spans="1:20" x14ac:dyDescent="0.3">
      <c r="A28" s="40">
        <v>15</v>
      </c>
      <c r="B28" s="41" t="str">
        <f>'DATA ENTRY'!B40</f>
        <v>23-QC03556</v>
      </c>
      <c r="C28" s="41" t="str">
        <f>'DATA ENTRY'!C40</f>
        <v>LACEDA, JANN EIRRON PATACSIL</v>
      </c>
      <c r="D28" s="43">
        <v>90</v>
      </c>
      <c r="E28" s="43">
        <v>98</v>
      </c>
      <c r="F28" s="43"/>
      <c r="G28" s="43"/>
      <c r="H28" s="43"/>
      <c r="I28" s="44">
        <f t="shared" si="0"/>
        <v>94</v>
      </c>
      <c r="J28" s="43" t="s">
        <v>121</v>
      </c>
      <c r="K28" s="43" t="s">
        <v>121</v>
      </c>
      <c r="L28" s="43">
        <v>97</v>
      </c>
      <c r="M28" s="43"/>
      <c r="N28" s="43"/>
      <c r="O28" s="44">
        <f t="shared" si="1"/>
        <v>97</v>
      </c>
      <c r="P28" s="43">
        <v>97</v>
      </c>
      <c r="Q28" s="45">
        <f t="shared" si="2"/>
        <v>96</v>
      </c>
      <c r="R28" s="40">
        <f>IFERROR(VLOOKUP(Q28,TGQC!$X$1:$Y$990,2),"0")</f>
        <v>1.25</v>
      </c>
      <c r="S28" s="40" t="str">
        <f>VLOOKUP(R28&amp;"-"&amp;T28,TGQC!$N$1:$Q$56,4,0)</f>
        <v>Passed</v>
      </c>
      <c r="T28" s="43"/>
    </row>
    <row r="29" spans="1:20" x14ac:dyDescent="0.3">
      <c r="A29" s="40">
        <v>16</v>
      </c>
      <c r="B29" s="41" t="str">
        <f>'DATA ENTRY'!B41</f>
        <v>23-QC03532</v>
      </c>
      <c r="C29" s="41" t="str">
        <f>'DATA ENTRY'!C41</f>
        <v>LEGASPI, JOSHUA MONATO</v>
      </c>
      <c r="D29" s="43">
        <v>70</v>
      </c>
      <c r="E29" s="43">
        <v>70</v>
      </c>
      <c r="F29" s="43"/>
      <c r="G29" s="43"/>
      <c r="H29" s="43"/>
      <c r="I29" s="44">
        <f t="shared" si="0"/>
        <v>70</v>
      </c>
      <c r="J29" s="43" t="s">
        <v>121</v>
      </c>
      <c r="K29" s="43" t="s">
        <v>122</v>
      </c>
      <c r="L29" s="43">
        <v>75</v>
      </c>
      <c r="M29" s="43"/>
      <c r="N29" s="43"/>
      <c r="O29" s="44">
        <f t="shared" si="1"/>
        <v>75</v>
      </c>
      <c r="P29" s="43">
        <v>75</v>
      </c>
      <c r="Q29" s="45">
        <f t="shared" si="2"/>
        <v>73.333333333333329</v>
      </c>
      <c r="R29" s="40">
        <f>IFERROR(VLOOKUP(Q29,TGQC!$X$1:$Y$990,2),"0")</f>
        <v>5</v>
      </c>
      <c r="S29" s="40" t="str">
        <f>VLOOKUP(R29&amp;"-"&amp;T29,TGQC!$N$1:$Q$56,4,0)</f>
        <v>Failed</v>
      </c>
      <c r="T29" s="43"/>
    </row>
    <row r="30" spans="1:20" x14ac:dyDescent="0.3">
      <c r="A30" s="40">
        <v>17</v>
      </c>
      <c r="B30" s="41" t="str">
        <f>'DATA ENTRY'!B42</f>
        <v>23-QC03140</v>
      </c>
      <c r="C30" s="41" t="str">
        <f>'DATA ENTRY'!C42</f>
        <v>LIM, DOMINIC MARTIN COSCULLA</v>
      </c>
      <c r="D30" s="43">
        <v>95</v>
      </c>
      <c r="E30" s="43">
        <v>93</v>
      </c>
      <c r="F30" s="43"/>
      <c r="G30" s="43"/>
      <c r="H30" s="43"/>
      <c r="I30" s="44">
        <f t="shared" si="0"/>
        <v>94</v>
      </c>
      <c r="J30" s="43" t="s">
        <v>121</v>
      </c>
      <c r="K30" s="43" t="s">
        <v>121</v>
      </c>
      <c r="L30" s="43">
        <v>88</v>
      </c>
      <c r="M30" s="43"/>
      <c r="N30" s="43"/>
      <c r="O30" s="44">
        <f t="shared" si="1"/>
        <v>88</v>
      </c>
      <c r="P30" s="43">
        <v>88</v>
      </c>
      <c r="Q30" s="45">
        <f t="shared" si="2"/>
        <v>90</v>
      </c>
      <c r="R30" s="40">
        <f>IFERROR(VLOOKUP(Q30,TGQC!$X$1:$Y$990,2),"0")</f>
        <v>1.75</v>
      </c>
      <c r="S30" s="40" t="str">
        <f>VLOOKUP(R30&amp;"-"&amp;T30,TGQC!$N$1:$Q$56,4,0)</f>
        <v>Passed</v>
      </c>
      <c r="T30" s="43"/>
    </row>
    <row r="31" spans="1:20" x14ac:dyDescent="0.3">
      <c r="A31" s="40">
        <v>18</v>
      </c>
      <c r="B31" s="41" t="str">
        <f>'DATA ENTRY'!B43</f>
        <v>23-QC03808</v>
      </c>
      <c r="C31" s="41" t="str">
        <f>'DATA ENTRY'!C43</f>
        <v>LUPAZ, TEDDY BOY LOZANO</v>
      </c>
      <c r="D31" s="43">
        <v>93</v>
      </c>
      <c r="E31" s="43">
        <v>88</v>
      </c>
      <c r="F31" s="43"/>
      <c r="G31" s="43"/>
      <c r="H31" s="43"/>
      <c r="I31" s="44">
        <f t="shared" si="0"/>
        <v>90.5</v>
      </c>
      <c r="J31" s="43" t="s">
        <v>122</v>
      </c>
      <c r="K31" s="43" t="s">
        <v>121</v>
      </c>
      <c r="L31" s="43">
        <v>83</v>
      </c>
      <c r="M31" s="43"/>
      <c r="N31" s="43"/>
      <c r="O31" s="44">
        <f t="shared" si="1"/>
        <v>83</v>
      </c>
      <c r="P31" s="43">
        <v>83</v>
      </c>
      <c r="Q31" s="45">
        <f t="shared" si="2"/>
        <v>85.5</v>
      </c>
      <c r="R31" s="40">
        <f>IFERROR(VLOOKUP(Q31,TGQC!$X$1:$Y$990,2),"0")</f>
        <v>2</v>
      </c>
      <c r="S31" s="40" t="str">
        <f>VLOOKUP(R31&amp;"-"&amp;T31,TGQC!$N$1:$Q$56,4,0)</f>
        <v>Passed</v>
      </c>
      <c r="T31" s="43"/>
    </row>
    <row r="32" spans="1:20" x14ac:dyDescent="0.3">
      <c r="A32" s="40">
        <v>19</v>
      </c>
      <c r="B32" s="41" t="str">
        <f>'DATA ENTRY'!B44</f>
        <v>22-QC01720</v>
      </c>
      <c r="C32" s="41" t="str">
        <f>'DATA ENTRY'!C44</f>
        <v>MALICSI, RALPH MESONGCO</v>
      </c>
      <c r="D32" s="43">
        <v>94</v>
      </c>
      <c r="E32" s="43">
        <v>90</v>
      </c>
      <c r="F32" s="43"/>
      <c r="G32" s="43"/>
      <c r="H32" s="43"/>
      <c r="I32" s="44">
        <f t="shared" si="0"/>
        <v>92</v>
      </c>
      <c r="J32" s="43" t="s">
        <v>121</v>
      </c>
      <c r="K32" s="43" t="s">
        <v>121</v>
      </c>
      <c r="L32" s="43">
        <v>87</v>
      </c>
      <c r="M32" s="43"/>
      <c r="N32" s="43"/>
      <c r="O32" s="44">
        <f t="shared" si="1"/>
        <v>87</v>
      </c>
      <c r="P32" s="43">
        <v>87</v>
      </c>
      <c r="Q32" s="45">
        <f t="shared" si="2"/>
        <v>88.666666666666671</v>
      </c>
      <c r="R32" s="40">
        <f>IFERROR(VLOOKUP(Q32,TGQC!$X$1:$Y$990,2),"0")</f>
        <v>1.75</v>
      </c>
      <c r="S32" s="40" t="str">
        <f>VLOOKUP(R32&amp;"-"&amp;T32,TGQC!$N$1:$Q$56,4,0)</f>
        <v>Passed</v>
      </c>
      <c r="T32" s="43"/>
    </row>
    <row r="33" spans="1:20" x14ac:dyDescent="0.3">
      <c r="A33" s="40">
        <v>20</v>
      </c>
      <c r="B33" s="41" t="str">
        <f>'DATA ENTRY'!B45</f>
        <v>23-QC04505</v>
      </c>
      <c r="C33" s="41" t="str">
        <f>'DATA ENTRY'!C45</f>
        <v>MATIC, ROIZ FRANCIS JAMAHALI</v>
      </c>
      <c r="D33" s="43">
        <v>100</v>
      </c>
      <c r="E33" s="43">
        <v>90</v>
      </c>
      <c r="F33" s="43"/>
      <c r="G33" s="43"/>
      <c r="H33" s="43"/>
      <c r="I33" s="44">
        <f t="shared" si="0"/>
        <v>95</v>
      </c>
      <c r="J33" s="43" t="s">
        <v>121</v>
      </c>
      <c r="K33" s="43" t="s">
        <v>121</v>
      </c>
      <c r="L33" s="43">
        <v>87</v>
      </c>
      <c r="M33" s="43"/>
      <c r="N33" s="43"/>
      <c r="O33" s="44">
        <f t="shared" si="1"/>
        <v>87</v>
      </c>
      <c r="P33" s="43">
        <v>87</v>
      </c>
      <c r="Q33" s="45">
        <f t="shared" si="2"/>
        <v>89.666666666666671</v>
      </c>
      <c r="R33" s="40">
        <f>IFERROR(VLOOKUP(Q33,TGQC!$X$1:$Y$990,2),"0")</f>
        <v>1.75</v>
      </c>
      <c r="S33" s="40" t="str">
        <f>VLOOKUP(R33&amp;"-"&amp;T33,TGQC!$N$1:$Q$56,4,0)</f>
        <v>Passed</v>
      </c>
      <c r="T33" s="43"/>
    </row>
    <row r="34" spans="1:20" x14ac:dyDescent="0.3">
      <c r="A34" s="40">
        <v>21</v>
      </c>
      <c r="B34" s="41" t="str">
        <f>'DATA ENTRY'!B46</f>
        <v>23-QC04146</v>
      </c>
      <c r="C34" s="41" t="str">
        <f>'DATA ENTRY'!C46</f>
        <v>PAGUILA, CALEB LAMUEL SANGALANG</v>
      </c>
      <c r="D34" s="43">
        <v>85</v>
      </c>
      <c r="E34" s="43">
        <v>70</v>
      </c>
      <c r="F34" s="43"/>
      <c r="G34" s="43"/>
      <c r="H34" s="43"/>
      <c r="I34" s="44">
        <f t="shared" si="0"/>
        <v>77.5</v>
      </c>
      <c r="J34" s="43" t="s">
        <v>122</v>
      </c>
      <c r="K34" s="43" t="s">
        <v>122</v>
      </c>
      <c r="L34" s="43">
        <v>80</v>
      </c>
      <c r="M34" s="43"/>
      <c r="N34" s="43"/>
      <c r="O34" s="44">
        <f t="shared" si="1"/>
        <v>80</v>
      </c>
      <c r="P34" s="43">
        <v>80</v>
      </c>
      <c r="Q34" s="45">
        <f t="shared" si="2"/>
        <v>79.166666666666671</v>
      </c>
      <c r="R34" s="40">
        <f>IFERROR(VLOOKUP(Q34,TGQC!$X$1:$Y$990,2),"0")</f>
        <v>2.75</v>
      </c>
      <c r="S34" s="40" t="str">
        <f>VLOOKUP(R34&amp;"-"&amp;T34,TGQC!$N$1:$Q$56,4,0)</f>
        <v>Passed</v>
      </c>
      <c r="T34" s="43"/>
    </row>
    <row r="35" spans="1:20" x14ac:dyDescent="0.3">
      <c r="A35" s="40">
        <v>22</v>
      </c>
      <c r="B35" s="41" t="str">
        <f>'DATA ENTRY'!B47</f>
        <v>23-QC03088</v>
      </c>
      <c r="C35" s="41" t="str">
        <f>'DATA ENTRY'!C47</f>
        <v>PUZON, JOZIAH AZRIEL NIETES</v>
      </c>
      <c r="D35" s="43">
        <v>80</v>
      </c>
      <c r="E35" s="43">
        <v>88</v>
      </c>
      <c r="F35" s="43"/>
      <c r="G35" s="43"/>
      <c r="H35" s="43"/>
      <c r="I35" s="44">
        <f t="shared" si="0"/>
        <v>84</v>
      </c>
      <c r="J35" s="43" t="s">
        <v>121</v>
      </c>
      <c r="K35" s="43" t="s">
        <v>121</v>
      </c>
      <c r="L35" s="43">
        <v>80</v>
      </c>
      <c r="M35" s="43"/>
      <c r="N35" s="43"/>
      <c r="O35" s="44">
        <f t="shared" si="1"/>
        <v>80</v>
      </c>
      <c r="P35" s="43">
        <v>80</v>
      </c>
      <c r="Q35" s="45">
        <f t="shared" si="2"/>
        <v>81.333333333333329</v>
      </c>
      <c r="R35" s="40">
        <f>IFERROR(VLOOKUP(Q35,TGQC!$X$1:$Y$990,2),"0")</f>
        <v>2.5</v>
      </c>
      <c r="S35" s="40" t="str">
        <f>VLOOKUP(R35&amp;"-"&amp;T35,TGQC!$N$1:$Q$56,4,0)</f>
        <v>Passed</v>
      </c>
      <c r="T35" s="43"/>
    </row>
    <row r="36" spans="1:20" x14ac:dyDescent="0.3">
      <c r="A36" s="40">
        <v>23</v>
      </c>
      <c r="B36" s="41" t="str">
        <f>'DATA ENTRY'!B48</f>
        <v>23-QC04663</v>
      </c>
      <c r="C36" s="41" t="str">
        <f>'DATA ENTRY'!C48</f>
        <v>REBOQUIO, MARC DANIEL YU</v>
      </c>
      <c r="D36" s="43">
        <v>70</v>
      </c>
      <c r="E36" s="43">
        <v>70</v>
      </c>
      <c r="F36" s="43"/>
      <c r="G36" s="43"/>
      <c r="H36" s="43"/>
      <c r="I36" s="44">
        <f t="shared" si="0"/>
        <v>70</v>
      </c>
      <c r="J36" s="43" t="s">
        <v>122</v>
      </c>
      <c r="K36" s="43" t="s">
        <v>121</v>
      </c>
      <c r="L36" s="43">
        <v>80</v>
      </c>
      <c r="M36" s="43"/>
      <c r="N36" s="43"/>
      <c r="O36" s="44">
        <f t="shared" si="1"/>
        <v>80</v>
      </c>
      <c r="P36" s="43">
        <v>80</v>
      </c>
      <c r="Q36" s="45">
        <f t="shared" si="2"/>
        <v>76.666666666666671</v>
      </c>
      <c r="R36" s="40">
        <f>IFERROR(VLOOKUP(Q36,TGQC!$X$1:$Y$990,2),"0")</f>
        <v>2.75</v>
      </c>
      <c r="S36" s="40" t="str">
        <f>VLOOKUP(R36&amp;"-"&amp;T36,TGQC!$N$1:$Q$56,4,0)</f>
        <v>Passed</v>
      </c>
      <c r="T36" s="43"/>
    </row>
    <row r="37" spans="1:20" x14ac:dyDescent="0.3">
      <c r="A37" s="40">
        <v>24</v>
      </c>
      <c r="B37" s="41" t="str">
        <f>'DATA ENTRY'!B49</f>
        <v>24-QC14846</v>
      </c>
      <c r="C37" s="41" t="str">
        <f>'DATA ENTRY'!C49</f>
        <v>ROA, MONIQUE GARCES</v>
      </c>
      <c r="D37" s="43">
        <v>69</v>
      </c>
      <c r="E37" s="43">
        <v>69</v>
      </c>
      <c r="F37" s="43"/>
      <c r="G37" s="43"/>
      <c r="H37" s="43"/>
      <c r="I37" s="44">
        <f t="shared" si="0"/>
        <v>69</v>
      </c>
      <c r="J37" s="43" t="s">
        <v>122</v>
      </c>
      <c r="K37" s="43" t="s">
        <v>122</v>
      </c>
      <c r="L37" s="43">
        <v>69</v>
      </c>
      <c r="M37" s="43"/>
      <c r="N37" s="43"/>
      <c r="O37" s="44">
        <f t="shared" si="1"/>
        <v>69</v>
      </c>
      <c r="P37" s="43">
        <v>69</v>
      </c>
      <c r="Q37" s="45">
        <f t="shared" si="2"/>
        <v>69</v>
      </c>
      <c r="R37" s="40">
        <f>IFERROR(VLOOKUP(Q37,TGQC!$X$1:$Y$990,2),"0")</f>
        <v>5</v>
      </c>
      <c r="S37" s="40" t="str">
        <f>VLOOKUP(R37&amp;"-"&amp;T37,TGQC!$N$1:$Q$56,4,0)</f>
        <v>Failed</v>
      </c>
      <c r="T37" s="43"/>
    </row>
    <row r="38" spans="1:20" x14ac:dyDescent="0.3">
      <c r="A38" s="40">
        <v>25</v>
      </c>
      <c r="B38" s="41" t="str">
        <f>'DATA ENTRY'!B50</f>
        <v>23-QC03931</v>
      </c>
      <c r="C38" s="41" t="str">
        <f>'DATA ENTRY'!C50</f>
        <v>SANCHEZ, GODWIN BAUTISTA</v>
      </c>
      <c r="D38" s="43">
        <v>97</v>
      </c>
      <c r="E38" s="43">
        <v>90</v>
      </c>
      <c r="F38" s="43"/>
      <c r="G38" s="43"/>
      <c r="H38" s="43"/>
      <c r="I38" s="44">
        <f t="shared" si="0"/>
        <v>93.5</v>
      </c>
      <c r="J38" s="43" t="s">
        <v>122</v>
      </c>
      <c r="K38" s="43" t="s">
        <v>122</v>
      </c>
      <c r="L38" s="43">
        <v>85</v>
      </c>
      <c r="M38" s="43"/>
      <c r="N38" s="43"/>
      <c r="O38" s="44">
        <f t="shared" si="1"/>
        <v>85</v>
      </c>
      <c r="P38" s="43">
        <v>85</v>
      </c>
      <c r="Q38" s="45">
        <f t="shared" si="2"/>
        <v>87.833333333333329</v>
      </c>
      <c r="R38" s="40">
        <f>IFERROR(VLOOKUP(Q38,TGQC!$X$1:$Y$990,2),"0")</f>
        <v>2</v>
      </c>
      <c r="S38" s="40" t="str">
        <f>VLOOKUP(R38&amp;"-"&amp;T38,TGQC!$N$1:$Q$56,4,0)</f>
        <v>Passed</v>
      </c>
      <c r="T38" s="43"/>
    </row>
    <row r="39" spans="1:20" x14ac:dyDescent="0.3">
      <c r="A39" s="40">
        <v>26</v>
      </c>
      <c r="B39" s="41" t="str">
        <f>'DATA ENTRY'!B51</f>
        <v>23-QC03869</v>
      </c>
      <c r="C39" s="41" t="str">
        <f>'DATA ENTRY'!C51</f>
        <v>SANCHEZ, ZANDER CEDRIC</v>
      </c>
      <c r="D39" s="43">
        <v>75</v>
      </c>
      <c r="E39" s="43">
        <v>70</v>
      </c>
      <c r="F39" s="43"/>
      <c r="G39" s="43"/>
      <c r="H39" s="43"/>
      <c r="I39" s="44">
        <f t="shared" si="0"/>
        <v>72.5</v>
      </c>
      <c r="J39" s="43" t="s">
        <v>121</v>
      </c>
      <c r="K39" s="43" t="s">
        <v>121</v>
      </c>
      <c r="L39" s="43">
        <v>80</v>
      </c>
      <c r="M39" s="43"/>
      <c r="N39" s="43"/>
      <c r="O39" s="44">
        <f t="shared" si="1"/>
        <v>80</v>
      </c>
      <c r="P39" s="43">
        <v>80</v>
      </c>
      <c r="Q39" s="45">
        <f t="shared" si="2"/>
        <v>77.5</v>
      </c>
      <c r="R39" s="40">
        <f>IFERROR(VLOOKUP(Q39,TGQC!$X$1:$Y$990,2),"0")</f>
        <v>2.75</v>
      </c>
      <c r="S39" s="40" t="str">
        <f>VLOOKUP(R39&amp;"-"&amp;T39,TGQC!$N$1:$Q$56,4,0)</f>
        <v>Passed</v>
      </c>
      <c r="T39" s="43"/>
    </row>
    <row r="40" spans="1:20" x14ac:dyDescent="0.3">
      <c r="A40" s="40">
        <v>27</v>
      </c>
      <c r="B40" s="41" t="str">
        <f>'DATA ENTRY'!B52</f>
        <v>23-QC04693</v>
      </c>
      <c r="C40" s="41" t="str">
        <f>'DATA ENTRY'!C52</f>
        <v>SANTOS, CASEY ANN NONOSO</v>
      </c>
      <c r="D40" s="43">
        <v>94</v>
      </c>
      <c r="E40" s="43">
        <v>88</v>
      </c>
      <c r="F40" s="43"/>
      <c r="G40" s="43"/>
      <c r="H40" s="43"/>
      <c r="I40" s="44">
        <f t="shared" si="0"/>
        <v>91</v>
      </c>
      <c r="J40" s="43" t="s">
        <v>122</v>
      </c>
      <c r="K40" s="43" t="s">
        <v>122</v>
      </c>
      <c r="L40" s="43">
        <v>89</v>
      </c>
      <c r="M40" s="43"/>
      <c r="N40" s="43"/>
      <c r="O40" s="44">
        <f t="shared" si="1"/>
        <v>89</v>
      </c>
      <c r="P40" s="43">
        <v>89</v>
      </c>
      <c r="Q40" s="45">
        <f t="shared" si="2"/>
        <v>89.666666666666671</v>
      </c>
      <c r="R40" s="40">
        <f>IFERROR(VLOOKUP(Q40,TGQC!$X$1:$Y$990,2),"0")</f>
        <v>1.75</v>
      </c>
      <c r="S40" s="40" t="str">
        <f>VLOOKUP(R40&amp;"-"&amp;T40,TGQC!$N$1:$Q$56,4,0)</f>
        <v>Passed</v>
      </c>
      <c r="T40" s="43"/>
    </row>
    <row r="41" spans="1:20" x14ac:dyDescent="0.3">
      <c r="A41" s="40">
        <v>28</v>
      </c>
      <c r="B41" s="41" t="str">
        <f>'DATA ENTRY'!B53</f>
        <v>23-QC04799</v>
      </c>
      <c r="C41" s="41" t="str">
        <f>'DATA ENTRY'!C53</f>
        <v>SILVA, COLE KENNETH BARONA</v>
      </c>
      <c r="D41" s="43">
        <v>94</v>
      </c>
      <c r="E41" s="43">
        <v>97</v>
      </c>
      <c r="F41" s="43"/>
      <c r="G41" s="43"/>
      <c r="H41" s="43"/>
      <c r="I41" s="44">
        <f t="shared" si="0"/>
        <v>95.5</v>
      </c>
      <c r="J41" s="43" t="s">
        <v>122</v>
      </c>
      <c r="K41" s="43" t="s">
        <v>121</v>
      </c>
      <c r="L41" s="43">
        <v>84</v>
      </c>
      <c r="M41" s="43"/>
      <c r="N41" s="43"/>
      <c r="O41" s="44">
        <f t="shared" si="1"/>
        <v>84</v>
      </c>
      <c r="P41" s="43">
        <v>84</v>
      </c>
      <c r="Q41" s="45">
        <f t="shared" si="2"/>
        <v>87.833333333333329</v>
      </c>
      <c r="R41" s="40">
        <f>IFERROR(VLOOKUP(Q41,TGQC!$X$1:$Y$990,2),"0")</f>
        <v>2</v>
      </c>
      <c r="S41" s="40" t="str">
        <f>VLOOKUP(R41&amp;"-"&amp;T41,TGQC!$N$1:$Q$56,4,0)</f>
        <v>Passed</v>
      </c>
      <c r="T41" s="43"/>
    </row>
    <row r="42" spans="1:20" x14ac:dyDescent="0.3">
      <c r="A42" s="40">
        <v>29</v>
      </c>
      <c r="B42" s="41" t="str">
        <f>'DATA ENTRY'!B54</f>
        <v>24-QC13520</v>
      </c>
      <c r="C42" s="41" t="str">
        <f>'DATA ENTRY'!C54</f>
        <v>TAN, CHRISJAN GABRIEL SAGARIO</v>
      </c>
      <c r="D42" s="43">
        <v>100</v>
      </c>
      <c r="E42" s="43">
        <v>100</v>
      </c>
      <c r="F42" s="43"/>
      <c r="G42" s="43"/>
      <c r="H42" s="43"/>
      <c r="I42" s="44">
        <f t="shared" si="0"/>
        <v>100</v>
      </c>
      <c r="J42" s="43" t="s">
        <v>121</v>
      </c>
      <c r="K42" s="43" t="s">
        <v>121</v>
      </c>
      <c r="L42" s="43">
        <v>100</v>
      </c>
      <c r="M42" s="43"/>
      <c r="N42" s="43"/>
      <c r="O42" s="44">
        <f t="shared" si="1"/>
        <v>100</v>
      </c>
      <c r="P42" s="43">
        <v>100</v>
      </c>
      <c r="Q42" s="45">
        <f t="shared" si="2"/>
        <v>100</v>
      </c>
      <c r="R42" s="40">
        <f>IFERROR(VLOOKUP(Q42,TGQC!$X$1:$Y$990,2),"0")</f>
        <v>1</v>
      </c>
      <c r="S42" s="40" t="str">
        <f>VLOOKUP(R42&amp;"-"&amp;T42,TGQC!$N$1:$Q$56,4,0)</f>
        <v>Passed</v>
      </c>
      <c r="T42" s="43"/>
    </row>
    <row r="43" spans="1:20" x14ac:dyDescent="0.3">
      <c r="A43" s="40">
        <v>30</v>
      </c>
      <c r="B43" s="41" t="str">
        <f>'DATA ENTRY'!B55</f>
        <v>23-QC03657</v>
      </c>
      <c r="C43" s="41" t="str">
        <f>'DATA ENTRY'!C55</f>
        <v>TEMPORAL, O’NIELEXUS FLORES</v>
      </c>
      <c r="D43" s="43">
        <v>69</v>
      </c>
      <c r="E43" s="43">
        <v>69</v>
      </c>
      <c r="F43" s="43"/>
      <c r="G43" s="43"/>
      <c r="H43" s="43"/>
      <c r="I43" s="44">
        <f t="shared" si="0"/>
        <v>69</v>
      </c>
      <c r="J43" s="43" t="s">
        <v>122</v>
      </c>
      <c r="K43" s="43" t="s">
        <v>122</v>
      </c>
      <c r="L43" s="43">
        <v>69</v>
      </c>
      <c r="M43" s="43"/>
      <c r="N43" s="43"/>
      <c r="O43" s="44">
        <f t="shared" si="1"/>
        <v>69</v>
      </c>
      <c r="P43" s="43">
        <v>69</v>
      </c>
      <c r="Q43" s="45">
        <f t="shared" si="2"/>
        <v>69</v>
      </c>
      <c r="R43" s="40">
        <f>IFERROR(VLOOKUP(Q43,TGQC!$X$1:$Y$990,2),"0")</f>
        <v>5</v>
      </c>
      <c r="S43" s="40" t="str">
        <f>VLOOKUP(R43&amp;"-"&amp;T43,TGQC!$N$1:$Q$56,4,0)</f>
        <v>Failed</v>
      </c>
      <c r="T43" s="43"/>
    </row>
    <row r="44" spans="1:20" x14ac:dyDescent="0.3">
      <c r="A44" s="40">
        <v>31</v>
      </c>
      <c r="B44" s="41" t="str">
        <f>'DATA ENTRY'!B56</f>
        <v>23-QC04979</v>
      </c>
      <c r="C44" s="41" t="str">
        <f>'DATA ENTRY'!C56</f>
        <v>TULA, MALIC ANGCAS</v>
      </c>
      <c r="D44" s="43"/>
      <c r="E44" s="43"/>
      <c r="F44" s="43"/>
      <c r="G44" s="43"/>
      <c r="H44" s="43"/>
      <c r="I44" s="44" t="str">
        <f t="shared" si="0"/>
        <v>0</v>
      </c>
      <c r="J44" s="43"/>
      <c r="K44" s="43"/>
      <c r="L44" s="43"/>
      <c r="M44" s="43"/>
      <c r="N44" s="43"/>
      <c r="O44" s="44" t="str">
        <f t="shared" si="1"/>
        <v>0</v>
      </c>
      <c r="P44" s="43"/>
      <c r="Q44" s="45">
        <f t="shared" si="2"/>
        <v>0</v>
      </c>
      <c r="R44" s="40" t="str">
        <f>IFERROR(VLOOKUP(Q44,TGQC!$X$1:$Y$990,2),"0")</f>
        <v>0</v>
      </c>
      <c r="S44" s="40" t="str">
        <f>VLOOKUP(R44&amp;"-"&amp;T44,TGQC!$N$1:$Q$56,4,0)</f>
        <v>Failed</v>
      </c>
      <c r="T44" s="43"/>
    </row>
    <row r="45" spans="1:20" x14ac:dyDescent="0.3">
      <c r="A45" s="40">
        <v>32</v>
      </c>
      <c r="B45" s="41" t="str">
        <f>'DATA ENTRY'!B57</f>
        <v>23-QC04448</v>
      </c>
      <c r="C45" s="41" t="str">
        <f>'DATA ENTRY'!C57</f>
        <v>VALDEZ, MA. DANNIELLE LOUIESSE</v>
      </c>
      <c r="D45" s="43"/>
      <c r="E45" s="43"/>
      <c r="F45" s="43"/>
      <c r="G45" s="43"/>
      <c r="H45" s="43"/>
      <c r="I45" s="44" t="str">
        <f t="shared" si="0"/>
        <v>0</v>
      </c>
      <c r="J45" s="43"/>
      <c r="K45" s="43"/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str">
        <f>IFERROR(VLOOKUP(Q45,TGQC!$X$1:$Y$990,2),"0")</f>
        <v>0</v>
      </c>
      <c r="S45" s="40" t="str">
        <f>VLOOKUP(R45&amp;"-"&amp;T45,TGQC!$N$1:$Q$56,4,0)</f>
        <v>Failed</v>
      </c>
      <c r="T45" s="43"/>
    </row>
    <row r="46" spans="1:20" x14ac:dyDescent="0.3">
      <c r="A46" s="40">
        <v>33</v>
      </c>
      <c r="B46" s="41">
        <f>'DATA ENTRY'!B58</f>
        <v>0</v>
      </c>
      <c r="C46" s="41" t="str">
        <f>'DATA ENTRY'!C58</f>
        <v>hernandez</v>
      </c>
      <c r="D46" s="43"/>
      <c r="E46" s="43"/>
      <c r="F46" s="43"/>
      <c r="G46" s="43"/>
      <c r="H46" s="43"/>
      <c r="I46" s="44" t="str">
        <f t="shared" si="0"/>
        <v>0</v>
      </c>
      <c r="J46" s="43"/>
      <c r="K46" s="43"/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str">
        <f>IFERROR(VLOOKUP(Q46,TGQC!$X$1:$Y$990,2),"0")</f>
        <v>0</v>
      </c>
      <c r="S46" s="40" t="str">
        <f>VLOOKUP(R46&amp;"-"&amp;T46,TGQC!$N$1:$Q$56,4,0)</f>
        <v>Failed</v>
      </c>
      <c r="T46" s="43"/>
    </row>
    <row r="47" spans="1:20" x14ac:dyDescent="0.3">
      <c r="A47" s="40">
        <v>34</v>
      </c>
      <c r="B47" s="41">
        <f>'DATA ENTRY'!B59</f>
        <v>0</v>
      </c>
      <c r="C47" s="41">
        <f>'DATA ENTRY'!C59</f>
        <v>0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str">
        <f>IFERROR(VLOOKUP(Q47,TGQC!$X$1:$Y$990,2),"0")</f>
        <v>0</v>
      </c>
      <c r="S47" s="40" t="str">
        <f>VLOOKUP(R47&amp;"-"&amp;T47,TGQC!$N$1:$Q$56,4,0)</f>
        <v>Failed</v>
      </c>
      <c r="T47" s="43"/>
    </row>
    <row r="48" spans="1:20" x14ac:dyDescent="0.3">
      <c r="A48" s="40">
        <v>35</v>
      </c>
      <c r="B48" s="41">
        <f>'DATA ENTRY'!B60</f>
        <v>0</v>
      </c>
      <c r="C48" s="41">
        <f>'DATA ENTRY'!C60</f>
        <v>0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str">
        <f>IFERROR(VLOOKUP(Q48,TGQC!$X$1:$Y$990,2),"0")</f>
        <v>0</v>
      </c>
      <c r="S48" s="40" t="str">
        <f>VLOOKUP(R48&amp;"-"&amp;T48,TGQC!$N$1:$Q$56,4,0)</f>
        <v>Failed</v>
      </c>
      <c r="T48" s="43"/>
    </row>
    <row r="49" spans="1:20" x14ac:dyDescent="0.3">
      <c r="A49" s="40">
        <v>36</v>
      </c>
      <c r="B49" s="41">
        <f>'DATA ENTRY'!B61</f>
        <v>0</v>
      </c>
      <c r="C49" s="41">
        <f>'DATA ENTRY'!C61</f>
        <v>0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str">
        <f>IFERROR(VLOOKUP(Q49,TGQC!$X$1:$Y$990,2),"0")</f>
        <v>0</v>
      </c>
      <c r="S49" s="40" t="str">
        <f>VLOOKUP(R49&amp;"-"&amp;T49,TGQC!$N$1:$Q$56,4,0)</f>
        <v>Failed</v>
      </c>
      <c r="T49" s="43"/>
    </row>
    <row r="50" spans="1:20" x14ac:dyDescent="0.3">
      <c r="A50" s="40">
        <v>37</v>
      </c>
      <c r="B50" s="41">
        <f>'DATA ENTRY'!B62</f>
        <v>0</v>
      </c>
      <c r="C50" s="41">
        <f>'DATA ENTRY'!C62</f>
        <v>0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str">
        <f>IFERROR(VLOOKUP(Q50,TGQC!$X$1:$Y$990,2),"0")</f>
        <v>0</v>
      </c>
      <c r="S50" s="40" t="str">
        <f>VLOOKUP(R50&amp;"-"&amp;T50,TGQC!$N$1:$Q$56,4,0)</f>
        <v>Failed</v>
      </c>
      <c r="T50" s="43"/>
    </row>
    <row r="51" spans="1:20" x14ac:dyDescent="0.3">
      <c r="A51" s="40">
        <v>38</v>
      </c>
      <c r="B51" s="41">
        <f>'DATA ENTRY'!B63</f>
        <v>0</v>
      </c>
      <c r="C51" s="41">
        <f>'DATA ENTRY'!C63</f>
        <v>0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str">
        <f>IFERROR(VLOOKUP(Q51,TGQC!$X$1:$Y$990,2),"0")</f>
        <v>0</v>
      </c>
      <c r="S51" s="40" t="str">
        <f>VLOOKUP(R51&amp;"-"&amp;T51,TGQC!$N$1:$Q$56,4,0)</f>
        <v>Failed</v>
      </c>
      <c r="T51" s="43"/>
    </row>
    <row r="52" spans="1:20" x14ac:dyDescent="0.3">
      <c r="A52" s="40">
        <v>39</v>
      </c>
      <c r="B52" s="41">
        <f>'DATA ENTRY'!B64</f>
        <v>0</v>
      </c>
      <c r="C52" s="41">
        <f>'DATA ENTRY'!C64</f>
        <v>0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str">
        <f>IFERROR(VLOOKUP(Q52,TGQC!$X$1:$Y$990,2),"0")</f>
        <v>0</v>
      </c>
      <c r="S52" s="40" t="str">
        <f>VLOOKUP(R52&amp;"-"&amp;T52,TGQC!$N$1:$Q$56,4,0)</f>
        <v>Failed</v>
      </c>
      <c r="T52" s="43"/>
    </row>
    <row r="53" spans="1:20" x14ac:dyDescent="0.3">
      <c r="A53" s="40">
        <v>40</v>
      </c>
      <c r="B53" s="41">
        <f>'DATA ENTRY'!B65</f>
        <v>0</v>
      </c>
      <c r="C53" s="41">
        <f>'DATA ENTRY'!C65</f>
        <v>0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str">
        <f>IFERROR(VLOOKUP(Q53,TGQC!$X$1:$Y$990,2),"0")</f>
        <v>0</v>
      </c>
      <c r="S53" s="40" t="str">
        <f>VLOOKUP(R53&amp;"-"&amp;T53,TGQC!$N$1:$Q$56,4,0)</f>
        <v>Failed</v>
      </c>
      <c r="T53" s="43"/>
    </row>
    <row r="54" spans="1:20" x14ac:dyDescent="0.3">
      <c r="A54" s="40">
        <v>41</v>
      </c>
      <c r="B54" s="41">
        <f>'DATA ENTRY'!B66</f>
        <v>0</v>
      </c>
      <c r="C54" s="41">
        <f>'DATA ENTRY'!C66</f>
        <v>0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str">
        <f>IFERROR(VLOOKUP(Q54,TGQC!$X$1:$Y$990,2),"0")</f>
        <v>0</v>
      </c>
      <c r="S54" s="40" t="str">
        <f>VLOOKUP(R54&amp;"-"&amp;T54,TGQC!$N$1:$Q$56,4,0)</f>
        <v>Failed</v>
      </c>
      <c r="T54" s="43"/>
    </row>
    <row r="55" spans="1:20" x14ac:dyDescent="0.3">
      <c r="A55" s="40">
        <v>42</v>
      </c>
      <c r="B55" s="41">
        <f>'DATA ENTRY'!B67</f>
        <v>0</v>
      </c>
      <c r="C55" s="41">
        <f>'DATA ENTRY'!C67</f>
        <v>0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str">
        <f>IFERROR(VLOOKUP(Q55,TGQC!$X$1:$Y$990,2),"0")</f>
        <v>0</v>
      </c>
      <c r="S55" s="40" t="str">
        <f>VLOOKUP(R55&amp;"-"&amp;T55,TGQC!$N$1:$Q$56,4,0)</f>
        <v>Failed</v>
      </c>
      <c r="T55" s="43"/>
    </row>
    <row r="56" spans="1:20" x14ac:dyDescent="0.3">
      <c r="A56" s="40">
        <v>43</v>
      </c>
      <c r="B56" s="41">
        <f>'DATA ENTRY'!B68</f>
        <v>0</v>
      </c>
      <c r="C56" s="41">
        <f>'DATA ENTRY'!C68</f>
        <v>0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str">
        <f>IFERROR(VLOOKUP(Q56,TGQC!$X$1:$Y$990,2),"0")</f>
        <v>0</v>
      </c>
      <c r="S56" s="40" t="str">
        <f>VLOOKUP(R56&amp;"-"&amp;T56,TGQC!$N$1:$Q$56,4,0)</f>
        <v>Failed</v>
      </c>
      <c r="T56" s="43"/>
    </row>
    <row r="57" spans="1:20" x14ac:dyDescent="0.3">
      <c r="A57" s="40">
        <v>44</v>
      </c>
      <c r="B57" s="41">
        <f>'DATA ENTRY'!B69</f>
        <v>0</v>
      </c>
      <c r="C57" s="41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str">
        <f>IFERROR(VLOOKUP(Q57,TGQC!$X$1:$Y$990,2),"0")</f>
        <v>0</v>
      </c>
      <c r="S57" s="40" t="str">
        <f>VLOOKUP(R57&amp;"-"&amp;T57,TGQC!$N$1:$Q$56,4,0)</f>
        <v>Failed</v>
      </c>
      <c r="T57" s="43"/>
    </row>
    <row r="58" spans="1:20" x14ac:dyDescent="0.3">
      <c r="A58" s="40">
        <v>45</v>
      </c>
      <c r="B58" s="41">
        <f>'DATA ENTRY'!B70</f>
        <v>0</v>
      </c>
      <c r="C58" s="41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str">
        <f>IFERROR(VLOOKUP(Q58,TGQC!$X$1:$Y$990,2),"0")</f>
        <v>0</v>
      </c>
      <c r="S58" s="40" t="str">
        <f>VLOOKUP(R58&amp;"-"&amp;T58,TGQC!$N$1:$Q$56,4,0)</f>
        <v>Failed</v>
      </c>
      <c r="T58" s="43"/>
    </row>
    <row r="59" spans="1:20" x14ac:dyDescent="0.3">
      <c r="A59" s="40">
        <v>46</v>
      </c>
      <c r="B59" s="41">
        <f>'DATA ENTRY'!B71</f>
        <v>0</v>
      </c>
      <c r="C59" s="41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str">
        <f>IFERROR(VLOOKUP(Q59,TGQC!$X$1:$Y$990,2),"0")</f>
        <v>0</v>
      </c>
      <c r="S59" s="40" t="str">
        <f>VLOOKUP(R59&amp;"-"&amp;T59,TGQC!$N$1:$Q$56,4,0)</f>
        <v>Failed</v>
      </c>
      <c r="T59" s="43"/>
    </row>
    <row r="60" spans="1:20" x14ac:dyDescent="0.3">
      <c r="A60" s="40">
        <v>47</v>
      </c>
      <c r="B60" s="41">
        <f>'DATA ENTRY'!B72</f>
        <v>0</v>
      </c>
      <c r="C60" s="41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str">
        <f>IFERROR(VLOOKUP(Q60,TGQC!$X$1:$Y$990,2),"0")</f>
        <v>0</v>
      </c>
      <c r="S60" s="40" t="str">
        <f>VLOOKUP(R60&amp;"-"&amp;T60,TGQC!$N$1:$Q$56,4,0)</f>
        <v>Failed</v>
      </c>
      <c r="T60" s="43"/>
    </row>
    <row r="61" spans="1:20" x14ac:dyDescent="0.3">
      <c r="A61" s="40">
        <v>48</v>
      </c>
      <c r="B61" s="41">
        <f>'DATA ENTRY'!B73</f>
        <v>0</v>
      </c>
      <c r="C61" s="41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str">
        <f>IFERROR(VLOOKUP(Q61,TGQC!$X$1:$Y$990,2),"0")</f>
        <v>0</v>
      </c>
      <c r="S61" s="40" t="str">
        <f>VLOOKUP(R61&amp;"-"&amp;T61,TGQC!$N$1:$Q$56,4,0)</f>
        <v>Failed</v>
      </c>
      <c r="T61" s="43"/>
    </row>
    <row r="62" spans="1:20" x14ac:dyDescent="0.3">
      <c r="A62" s="40">
        <v>49</v>
      </c>
      <c r="B62" s="41">
        <f>'DATA ENTRY'!B74</f>
        <v>0</v>
      </c>
      <c r="C62" s="41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str">
        <f>IFERROR(VLOOKUP(Q62,TGQC!$X$1:$Y$990,2),"0")</f>
        <v>0</v>
      </c>
      <c r="S62" s="40" t="str">
        <f>VLOOKUP(R62&amp;"-"&amp;T62,TGQC!$N$1:$Q$56,4,0)</f>
        <v>Failed</v>
      </c>
      <c r="T62" s="43"/>
    </row>
    <row r="63" spans="1:20" x14ac:dyDescent="0.3">
      <c r="A63" s="40">
        <v>50</v>
      </c>
      <c r="B63" s="41">
        <f>'DATA ENTRY'!B75</f>
        <v>0</v>
      </c>
      <c r="C63" s="41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str">
        <f>IFERROR(VLOOKUP(Q63,TGQC!$X$1:$Y$990,2),"0")</f>
        <v>0</v>
      </c>
      <c r="S63" s="40" t="str">
        <f>VLOOKUP(R63&amp;"-"&amp;T63,TGQC!$N$1:$Q$56,4,0)</f>
        <v>Failed</v>
      </c>
      <c r="T63" s="43"/>
    </row>
    <row r="64" spans="1:20" x14ac:dyDescent="0.3">
      <c r="A64" s="40">
        <v>51</v>
      </c>
      <c r="B64" s="41">
        <f>'DATA ENTRY'!B76</f>
        <v>0</v>
      </c>
      <c r="C64" s="41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str">
        <f>IFERROR(VLOOKUP(Q64,TGQC!$X$1:$Y$990,2),"0")</f>
        <v>0</v>
      </c>
      <c r="S64" s="40" t="str">
        <f>VLOOKUP(R64&amp;"-"&amp;T64,TGQC!$N$1:$Q$56,4,0)</f>
        <v>Failed</v>
      </c>
      <c r="T64" s="43"/>
    </row>
    <row r="65" spans="1:20" x14ac:dyDescent="0.3">
      <c r="A65" s="40">
        <v>52</v>
      </c>
      <c r="B65" s="41">
        <f>'DATA ENTRY'!B77</f>
        <v>0</v>
      </c>
      <c r="C65" s="41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str">
        <f>IFERROR(VLOOKUP(Q65,TGQC!$X$1:$Y$990,2),"0")</f>
        <v>0</v>
      </c>
      <c r="S65" s="40" t="str">
        <f>VLOOKUP(R65&amp;"-"&amp;T65,TGQC!$N$1:$Q$56,4,0)</f>
        <v>Failed</v>
      </c>
      <c r="T65" s="43"/>
    </row>
    <row r="66" spans="1:20" x14ac:dyDescent="0.3">
      <c r="A66" s="40">
        <v>53</v>
      </c>
      <c r="B66" s="41">
        <f>'DATA ENTRY'!B78</f>
        <v>0</v>
      </c>
      <c r="C66" s="41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str">
        <f>IFERROR(VLOOKUP(Q66,TGQC!$X$1:$Y$990,2),"0")</f>
        <v>0</v>
      </c>
      <c r="S66" s="40" t="str">
        <f>VLOOKUP(R66&amp;"-"&amp;T66,TGQC!$N$1:$Q$56,4,0)</f>
        <v>Failed</v>
      </c>
      <c r="T66" s="43"/>
    </row>
    <row r="67" spans="1:20" x14ac:dyDescent="0.3">
      <c r="A67" s="40">
        <v>54</v>
      </c>
      <c r="B67" s="41">
        <f>'DATA ENTRY'!B79</f>
        <v>0</v>
      </c>
      <c r="C67" s="41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str">
        <f>IFERROR(VLOOKUP(Q67,TGQC!$X$1:$Y$990,2),"0")</f>
        <v>0</v>
      </c>
      <c r="S67" s="40" t="str">
        <f>VLOOKUP(R67&amp;"-"&amp;T67,TGQC!$N$1:$Q$56,4,0)</f>
        <v>Failed</v>
      </c>
      <c r="T67" s="43"/>
    </row>
    <row r="68" spans="1:20" x14ac:dyDescent="0.3">
      <c r="A68" s="40">
        <v>55</v>
      </c>
      <c r="B68" s="41">
        <f>'DATA ENTRY'!B80</f>
        <v>0</v>
      </c>
      <c r="C68" s="41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str">
        <f>IFERROR(VLOOKUP(Q68,TGQC!$X$1:$Y$990,2),"0")</f>
        <v>0</v>
      </c>
      <c r="S68" s="40" t="str">
        <f>VLOOKUP(R68&amp;"-"&amp;T68,TGQC!$N$1:$Q$56,4,0)</f>
        <v>Failed</v>
      </c>
      <c r="T68" s="43"/>
    </row>
    <row r="69" spans="1:20" x14ac:dyDescent="0.3">
      <c r="A69" s="40">
        <v>56</v>
      </c>
      <c r="B69" s="41">
        <f>'DATA ENTRY'!B81</f>
        <v>0</v>
      </c>
      <c r="C69" s="41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str">
        <f>IFERROR(VLOOKUP(Q69,TGQC!$X$1:$Y$990,2),"0")</f>
        <v>0</v>
      </c>
      <c r="S69" s="40" t="str">
        <f>VLOOKUP(R69&amp;"-"&amp;T69,TGQC!$N$1:$Q$56,4,0)</f>
        <v>Failed</v>
      </c>
      <c r="T69" s="43"/>
    </row>
    <row r="70" spans="1:20" x14ac:dyDescent="0.3">
      <c r="A70" s="40">
        <v>57</v>
      </c>
      <c r="B70" s="41">
        <f>'DATA ENTRY'!B82</f>
        <v>0</v>
      </c>
      <c r="C70" s="41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str">
        <f>IFERROR(VLOOKUP(Q70,TGQC!$X$1:$Y$990,2),"0")</f>
        <v>0</v>
      </c>
      <c r="S70" s="40" t="str">
        <f>VLOOKUP(R70&amp;"-"&amp;T70,TGQC!$N$1:$Q$56,4,0)</f>
        <v>Failed</v>
      </c>
      <c r="T70" s="43"/>
    </row>
    <row r="71" spans="1:20" x14ac:dyDescent="0.3">
      <c r="A71" s="40">
        <v>58</v>
      </c>
      <c r="B71" s="41">
        <f>'DATA ENTRY'!B83</f>
        <v>0</v>
      </c>
      <c r="C71" s="41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str">
        <f>IFERROR(VLOOKUP(Q71,TGQC!$X$1:$Y$990,2),"0")</f>
        <v>0</v>
      </c>
      <c r="S71" s="40" t="str">
        <f>VLOOKUP(R71&amp;"-"&amp;T71,TGQC!$N$1:$Q$56,4,0)</f>
        <v>Failed</v>
      </c>
      <c r="T71" s="43"/>
    </row>
    <row r="72" spans="1:20" x14ac:dyDescent="0.3">
      <c r="A72" s="40">
        <v>59</v>
      </c>
      <c r="B72" s="41">
        <f>'DATA ENTRY'!B84</f>
        <v>0</v>
      </c>
      <c r="C72" s="41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str">
        <f>IFERROR(VLOOKUP(Q72,TGQC!$X$1:$Y$990,2),"0")</f>
        <v>0</v>
      </c>
      <c r="S72" s="40" t="str">
        <f>VLOOKUP(R72&amp;"-"&amp;T72,TGQC!$N$1:$Q$56,4,0)</f>
        <v>Failed</v>
      </c>
      <c r="T72" s="43"/>
    </row>
    <row r="73" spans="1:20" x14ac:dyDescent="0.3">
      <c r="A73" s="40">
        <v>60</v>
      </c>
      <c r="B73" s="41">
        <f>'DATA ENTRY'!B85</f>
        <v>0</v>
      </c>
      <c r="C73" s="41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str">
        <f>IFERROR(VLOOKUP(Q73,TGQC!$X$1:$Y$990,2),"0")</f>
        <v>0</v>
      </c>
      <c r="S73" s="40" t="str">
        <f>VLOOKUP(R73&amp;"-"&amp;T73,TGQC!$N$1:$Q$56,4,0)</f>
        <v>Failed</v>
      </c>
      <c r="T73" s="43"/>
    </row>
    <row r="74" spans="1:20" x14ac:dyDescent="0.3">
      <c r="A74" s="40">
        <v>61</v>
      </c>
      <c r="B74" s="41">
        <f>'DATA ENTRY'!B86</f>
        <v>0</v>
      </c>
      <c r="C74" s="41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str">
        <f>IFERROR(VLOOKUP(Q74,TGQC!$X$1:$Y$990,2),"0")</f>
        <v>0</v>
      </c>
      <c r="S74" s="40" t="str">
        <f>VLOOKUP(R74&amp;"-"&amp;T74,TGQC!$N$1:$Q$56,4,0)</f>
        <v>Failed</v>
      </c>
      <c r="T74" s="43"/>
    </row>
    <row r="75" spans="1:20" x14ac:dyDescent="0.3">
      <c r="A75" s="40">
        <v>62</v>
      </c>
      <c r="B75" s="41">
        <f>'DATA ENTRY'!B87</f>
        <v>0</v>
      </c>
      <c r="C75" s="41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str">
        <f>IFERROR(VLOOKUP(Q75,TGQC!$X$1:$Y$990,2),"0")</f>
        <v>0</v>
      </c>
      <c r="S75" s="40" t="str">
        <f>VLOOKUP(R75&amp;"-"&amp;T75,TGQC!$N$1:$Q$56,4,0)</f>
        <v>Failed</v>
      </c>
      <c r="T75" s="43"/>
    </row>
    <row r="76" spans="1:20" x14ac:dyDescent="0.3">
      <c r="A76" s="40">
        <v>63</v>
      </c>
      <c r="B76" s="41">
        <f>'DATA ENTRY'!B88</f>
        <v>0</v>
      </c>
      <c r="C76" s="41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str">
        <f>IFERROR(VLOOKUP(Q76,TGQC!$X$1:$Y$990,2),"0")</f>
        <v>0</v>
      </c>
      <c r="S76" s="40" t="str">
        <f>VLOOKUP(R76&amp;"-"&amp;T76,TGQC!$N$1:$Q$56,4,0)</f>
        <v>Failed</v>
      </c>
      <c r="T76" s="43"/>
    </row>
    <row r="77" spans="1:20" x14ac:dyDescent="0.3">
      <c r="A77" s="40">
        <v>64</v>
      </c>
      <c r="B77" s="41">
        <f>'DATA ENTRY'!B89</f>
        <v>0</v>
      </c>
      <c r="C77" s="41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str">
        <f>IFERROR(VLOOKUP(Q77,TGQC!$X$1:$Y$990,2),"0")</f>
        <v>0</v>
      </c>
      <c r="S77" s="40" t="str">
        <f>VLOOKUP(R77&amp;"-"&amp;T77,TGQC!$N$1:$Q$56,4,0)</f>
        <v>Failed</v>
      </c>
      <c r="T77" s="43"/>
    </row>
    <row r="78" spans="1:20" x14ac:dyDescent="0.3">
      <c r="A78" s="40">
        <v>65</v>
      </c>
      <c r="B78" s="41">
        <f>'DATA ENTRY'!B90</f>
        <v>0</v>
      </c>
      <c r="C78" s="41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str">
        <f>IFERROR(VLOOKUP(Q78,TGQC!$X$1:$Y$990,2),"0")</f>
        <v>0</v>
      </c>
      <c r="S78" s="40" t="str">
        <f>VLOOKUP(R78&amp;"-"&amp;T78,TGQC!$N$1:$Q$56,4,0)</f>
        <v>Failed</v>
      </c>
      <c r="T78" s="43"/>
    </row>
    <row r="79" spans="1:20" x14ac:dyDescent="0.3">
      <c r="A79" s="40">
        <v>66</v>
      </c>
      <c r="B79" s="41">
        <f>'DATA ENTRY'!B91</f>
        <v>0</v>
      </c>
      <c r="C79" s="41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str">
        <f>IFERROR(VLOOKUP(Q79,TGQC!$X$1:$Y$990,2),"0")</f>
        <v>0</v>
      </c>
      <c r="S79" s="40" t="str">
        <f>VLOOKUP(R79&amp;"-"&amp;T79,TGQC!$N$1:$Q$56,4,0)</f>
        <v>Failed</v>
      </c>
      <c r="T79" s="43"/>
    </row>
    <row r="80" spans="1:20" x14ac:dyDescent="0.3">
      <c r="A80" s="40">
        <v>67</v>
      </c>
      <c r="B80" s="41">
        <f>'DATA ENTRY'!B92</f>
        <v>0</v>
      </c>
      <c r="C80" s="41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str">
        <f>IFERROR(VLOOKUP(Q80,TGQC!$X$1:$Y$990,2),"0")</f>
        <v>0</v>
      </c>
      <c r="S80" s="40" t="str">
        <f>VLOOKUP(R80&amp;"-"&amp;T80,TGQC!$N$1:$Q$56,4,0)</f>
        <v>Failed</v>
      </c>
      <c r="T80" s="43"/>
    </row>
    <row r="81" spans="1:20" x14ac:dyDescent="0.3">
      <c r="A81" s="40">
        <v>68</v>
      </c>
      <c r="B81" s="41">
        <f>'DATA ENTRY'!B93</f>
        <v>0</v>
      </c>
      <c r="C81" s="41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str">
        <f>IFERROR(VLOOKUP(Q81,TGQC!$X$1:$Y$990,2),"0")</f>
        <v>0</v>
      </c>
      <c r="S81" s="40" t="str">
        <f>VLOOKUP(R81&amp;"-"&amp;T81,TGQC!$N$1:$Q$56,4,0)</f>
        <v>Failed</v>
      </c>
      <c r="T81" s="43"/>
    </row>
    <row r="82" spans="1:20" x14ac:dyDescent="0.3">
      <c r="A82" s="40">
        <v>69</v>
      </c>
      <c r="B82" s="41">
        <f>'DATA ENTRY'!B94</f>
        <v>0</v>
      </c>
      <c r="C82" s="41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str">
        <f>IFERROR(VLOOKUP(Q82,TGQC!$X$1:$Y$990,2),"0")</f>
        <v>0</v>
      </c>
      <c r="S82" s="40" t="str">
        <f>VLOOKUP(R82&amp;"-"&amp;T82,TGQC!$N$1:$Q$56,4,0)</f>
        <v>Failed</v>
      </c>
      <c r="T82" s="43"/>
    </row>
    <row r="83" spans="1:20" x14ac:dyDescent="0.3">
      <c r="A83" s="40">
        <v>70</v>
      </c>
      <c r="B83" s="41">
        <f>'DATA ENTRY'!B95</f>
        <v>0</v>
      </c>
      <c r="C83" s="41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str">
        <f>IFERROR(VLOOKUP(Q83,TGQC!$X$1:$Y$990,2),"0")</f>
        <v>0</v>
      </c>
      <c r="S83" s="40" t="str">
        <f>VLOOKUP(R83&amp;"-"&amp;T83,TGQC!$N$1:$Q$56,4,0)</f>
        <v>Failed</v>
      </c>
      <c r="T83" s="43"/>
    </row>
    <row r="84" spans="1:20" x14ac:dyDescent="0.3">
      <c r="A84" s="40">
        <v>71</v>
      </c>
      <c r="B84" s="41">
        <f>'DATA ENTRY'!B96</f>
        <v>0</v>
      </c>
      <c r="C84" s="41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str">
        <f>IFERROR(VLOOKUP(Q84,TGQC!$X$1:$Y$990,2),"0")</f>
        <v>0</v>
      </c>
      <c r="S84" s="40" t="str">
        <f>VLOOKUP(R84&amp;"-"&amp;T84,TGQC!$N$1:$Q$56,4,0)</f>
        <v>Failed</v>
      </c>
      <c r="T84" s="43"/>
    </row>
    <row r="85" spans="1:20" x14ac:dyDescent="0.3">
      <c r="A85" s="40">
        <v>72</v>
      </c>
      <c r="B85" s="41">
        <f>'DATA ENTRY'!B97</f>
        <v>0</v>
      </c>
      <c r="C85" s="41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str">
        <f>IFERROR(VLOOKUP(Q85,TGQC!$X$1:$Y$990,2),"0")</f>
        <v>0</v>
      </c>
      <c r="S85" s="40" t="str">
        <f>VLOOKUP(R85&amp;"-"&amp;T85,TGQC!$N$1:$Q$56,4,0)</f>
        <v>Failed</v>
      </c>
      <c r="T85" s="43"/>
    </row>
    <row r="86" spans="1:20" x14ac:dyDescent="0.3">
      <c r="A86" s="40">
        <v>73</v>
      </c>
      <c r="B86" s="41">
        <f>'DATA ENTRY'!B98</f>
        <v>0</v>
      </c>
      <c r="C86" s="41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str">
        <f>IFERROR(VLOOKUP(Q86,TGQC!$X$1:$Y$990,2),"0")</f>
        <v>0</v>
      </c>
      <c r="S86" s="40" t="str">
        <f>VLOOKUP(R86&amp;"-"&amp;T86,TGQC!$N$1:$Q$56,4,0)</f>
        <v>Failed</v>
      </c>
      <c r="T86" s="43"/>
    </row>
    <row r="87" spans="1:20" x14ac:dyDescent="0.3">
      <c r="A87" s="40">
        <v>74</v>
      </c>
      <c r="B87" s="41">
        <f>'DATA ENTRY'!B99</f>
        <v>0</v>
      </c>
      <c r="C87" s="41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str">
        <f>IFERROR(VLOOKUP(Q87,TGQC!$X$1:$Y$990,2),"0")</f>
        <v>0</v>
      </c>
      <c r="S87" s="40" t="str">
        <f>VLOOKUP(R87&amp;"-"&amp;T87,TGQC!$N$1:$Q$56,4,0)</f>
        <v>Failed</v>
      </c>
      <c r="T87" s="43"/>
    </row>
    <row r="88" spans="1:20" x14ac:dyDescent="0.3">
      <c r="A88" s="40">
        <v>75</v>
      </c>
      <c r="B88" s="41">
        <f>'DATA ENTRY'!B100</f>
        <v>0</v>
      </c>
      <c r="C88" s="41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str">
        <f>IFERROR(VLOOKUP(Q88,TGQC!$X$1:$Y$990,2),"0")</f>
        <v>0</v>
      </c>
      <c r="S88" s="40" t="str">
        <f>VLOOKUP(R88&amp;"-"&amp;T88,TGQC!$N$1:$Q$56,4,0)</f>
        <v>Failed</v>
      </c>
      <c r="T88" s="43"/>
    </row>
    <row r="89" spans="1:20" x14ac:dyDescent="0.3">
      <c r="A89" s="40">
        <v>76</v>
      </c>
      <c r="B89" s="41">
        <f>'DATA ENTRY'!B101</f>
        <v>0</v>
      </c>
      <c r="C89" s="41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str">
        <f>IFERROR(VLOOKUP(Q89,TGQC!$X$1:$Y$990,2),"0")</f>
        <v>0</v>
      </c>
      <c r="S89" s="40" t="str">
        <f>VLOOKUP(R89&amp;"-"&amp;T89,TGQC!$N$1:$Q$56,4,0)</f>
        <v>Failed</v>
      </c>
      <c r="T89" s="43"/>
    </row>
    <row r="90" spans="1:20" x14ac:dyDescent="0.3">
      <c r="A90" s="40">
        <v>77</v>
      </c>
      <c r="B90" s="41">
        <f>'DATA ENTRY'!B102</f>
        <v>0</v>
      </c>
      <c r="C90" s="41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str">
        <f>IFERROR(VLOOKUP(Q90,TGQC!$X$1:$Y$990,2),"0")</f>
        <v>0</v>
      </c>
      <c r="S90" s="40" t="str">
        <f>VLOOKUP(R90&amp;"-"&amp;T90,TGQC!$N$1:$Q$56,4,0)</f>
        <v>Failed</v>
      </c>
      <c r="T90" s="43"/>
    </row>
    <row r="91" spans="1:20" x14ac:dyDescent="0.3">
      <c r="A91" s="40">
        <v>78</v>
      </c>
      <c r="B91" s="41">
        <f>'DATA ENTRY'!B103</f>
        <v>0</v>
      </c>
      <c r="C91" s="41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str">
        <f>IFERROR(VLOOKUP(Q91,TGQC!$X$1:$Y$990,2),"0")</f>
        <v>0</v>
      </c>
      <c r="S91" s="40" t="str">
        <f>VLOOKUP(R91&amp;"-"&amp;T91,TGQC!$N$1:$Q$56,4,0)</f>
        <v>Failed</v>
      </c>
      <c r="T91" s="43"/>
    </row>
    <row r="92" spans="1:20" x14ac:dyDescent="0.3">
      <c r="A92" s="40">
        <v>79</v>
      </c>
      <c r="B92" s="41">
        <f>'DATA ENTRY'!B104</f>
        <v>0</v>
      </c>
      <c r="C92" s="41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str">
        <f>IFERROR(VLOOKUP(Q92,TGQC!$X$1:$Y$990,2),"0")</f>
        <v>0</v>
      </c>
      <c r="S92" s="40" t="str">
        <f>VLOOKUP(R92&amp;"-"&amp;T92,TGQC!$N$1:$Q$56,4,0)</f>
        <v>Failed</v>
      </c>
      <c r="T92" s="43"/>
    </row>
    <row r="93" spans="1:20" x14ac:dyDescent="0.3">
      <c r="A93" s="40">
        <v>80</v>
      </c>
      <c r="B93" s="41">
        <f>'DATA ENTRY'!B105</f>
        <v>0</v>
      </c>
      <c r="C93" s="41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str">
        <f>IFERROR(VLOOKUP(Q93,TGQC!$X$1:$Y$990,2),"0")</f>
        <v>0</v>
      </c>
      <c r="S93" s="40" t="str">
        <f>VLOOKUP(R93&amp;"-"&amp;T93,TGQC!$N$1:$Q$56,4,0)</f>
        <v>Failed</v>
      </c>
      <c r="T93" s="43"/>
    </row>
    <row r="94" spans="1:20" x14ac:dyDescent="0.3">
      <c r="A94" s="40">
        <v>81</v>
      </c>
      <c r="B94" s="41">
        <f>'DATA ENTRY'!B106</f>
        <v>0</v>
      </c>
      <c r="C94" s="41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str">
        <f>IFERROR(VLOOKUP(Q94,TGQC!$X$1:$Y$990,2),"0")</f>
        <v>0</v>
      </c>
      <c r="S94" s="40" t="str">
        <f>VLOOKUP(R94&amp;"-"&amp;T94,TGQC!$N$1:$Q$56,4,0)</f>
        <v>Failed</v>
      </c>
      <c r="T94" s="43"/>
    </row>
    <row r="95" spans="1:20" x14ac:dyDescent="0.3">
      <c r="A95" s="40">
        <v>82</v>
      </c>
      <c r="B95" s="41">
        <f>'DATA ENTRY'!B107</f>
        <v>0</v>
      </c>
      <c r="C95" s="41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str">
        <f>IFERROR(VLOOKUP(Q95,TGQC!$X$1:$Y$990,2),"0")</f>
        <v>0</v>
      </c>
      <c r="S95" s="40" t="str">
        <f>VLOOKUP(R95&amp;"-"&amp;T95,TGQC!$N$1:$Q$56,4,0)</f>
        <v>Failed</v>
      </c>
      <c r="T95" s="43"/>
    </row>
    <row r="96" spans="1:20" x14ac:dyDescent="0.3">
      <c r="A96" s="40">
        <v>83</v>
      </c>
      <c r="B96" s="41">
        <f>'DATA ENTRY'!B108</f>
        <v>0</v>
      </c>
      <c r="C96" s="41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str">
        <f>IFERROR(VLOOKUP(Q96,TGQC!$X$1:$Y$990,2),"0")</f>
        <v>0</v>
      </c>
      <c r="S96" s="40" t="str">
        <f>VLOOKUP(R96&amp;"-"&amp;T96,TGQC!$N$1:$Q$56,4,0)</f>
        <v>Failed</v>
      </c>
      <c r="T96" s="43"/>
    </row>
    <row r="97" spans="1:20" x14ac:dyDescent="0.3">
      <c r="A97" s="40">
        <v>84</v>
      </c>
      <c r="B97" s="41">
        <f>'DATA ENTRY'!B109</f>
        <v>0</v>
      </c>
      <c r="C97" s="41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str">
        <f>IFERROR(VLOOKUP(Q97,TGQC!$X$1:$Y$990,2),"0")</f>
        <v>0</v>
      </c>
      <c r="S97" s="40" t="str">
        <f>VLOOKUP(R97&amp;"-"&amp;T97,TGQC!$N$1:$Q$56,4,0)</f>
        <v>Failed</v>
      </c>
      <c r="T97" s="43"/>
    </row>
    <row r="98" spans="1:20" x14ac:dyDescent="0.3">
      <c r="A98" s="40">
        <v>85</v>
      </c>
      <c r="B98" s="41">
        <f>'DATA ENTRY'!B110</f>
        <v>0</v>
      </c>
      <c r="C98" s="41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str">
        <f>IFERROR(VLOOKUP(Q98,TGQC!$X$1:$Y$990,2),"0")</f>
        <v>0</v>
      </c>
      <c r="S98" s="40" t="str">
        <f>VLOOKUP(R98&amp;"-"&amp;T98,TGQC!$N$1:$Q$56,4,0)</f>
        <v>Failed</v>
      </c>
      <c r="T98" s="43"/>
    </row>
    <row r="99" spans="1:20" x14ac:dyDescent="0.3">
      <c r="A99" s="40">
        <v>86</v>
      </c>
      <c r="B99" s="41">
        <f>'DATA ENTRY'!B111</f>
        <v>0</v>
      </c>
      <c r="C99" s="41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str">
        <f>IFERROR(VLOOKUP(Q99,TGQC!$X$1:$Y$990,2),"0")</f>
        <v>0</v>
      </c>
      <c r="S99" s="40" t="str">
        <f>VLOOKUP(R99&amp;"-"&amp;T99,TGQC!$N$1:$Q$56,4,0)</f>
        <v>Failed</v>
      </c>
      <c r="T99" s="43"/>
    </row>
    <row r="100" spans="1:20" x14ac:dyDescent="0.3">
      <c r="A100" s="40">
        <v>87</v>
      </c>
      <c r="B100" s="41">
        <f>'DATA ENTRY'!B112</f>
        <v>0</v>
      </c>
      <c r="C100" s="41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str">
        <f>IFERROR(VLOOKUP(Q100,TGQC!$X$1:$Y$990,2),"0")</f>
        <v>0</v>
      </c>
      <c r="S100" s="40" t="str">
        <f>VLOOKUP(R100&amp;"-"&amp;T100,TGQC!$N$1:$Q$56,4,0)</f>
        <v>Failed</v>
      </c>
      <c r="T100" s="43"/>
    </row>
    <row r="101" spans="1:20" x14ac:dyDescent="0.3">
      <c r="A101" s="40">
        <v>88</v>
      </c>
      <c r="B101" s="41">
        <f>'DATA ENTRY'!B113</f>
        <v>0</v>
      </c>
      <c r="C101" s="41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str">
        <f>IFERROR(VLOOKUP(Q101,TGQC!$X$1:$Y$990,2),"0")</f>
        <v>0</v>
      </c>
      <c r="S101" s="40" t="str">
        <f>VLOOKUP(R101&amp;"-"&amp;T101,TGQC!$N$1:$Q$56,4,0)</f>
        <v>Failed</v>
      </c>
      <c r="T101" s="43"/>
    </row>
    <row r="102" spans="1:20" x14ac:dyDescent="0.3">
      <c r="A102" s="40">
        <v>89</v>
      </c>
      <c r="B102" s="41">
        <f>'DATA ENTRY'!B114</f>
        <v>0</v>
      </c>
      <c r="C102" s="41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str">
        <f>IFERROR(VLOOKUP(Q102,TGQC!$X$1:$Y$990,2),"0")</f>
        <v>0</v>
      </c>
      <c r="S102" s="40" t="str">
        <f>VLOOKUP(R102&amp;"-"&amp;T102,TGQC!$N$1:$Q$56,4,0)</f>
        <v>Failed</v>
      </c>
      <c r="T102" s="43"/>
    </row>
    <row r="103" spans="1:20" x14ac:dyDescent="0.3">
      <c r="A103" s="40">
        <v>90</v>
      </c>
      <c r="B103" s="41">
        <f>'DATA ENTRY'!B115</f>
        <v>0</v>
      </c>
      <c r="C103" s="41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str">
        <f>IFERROR(VLOOKUP(Q103,TGQC!$X$1:$Y$990,2),"0")</f>
        <v>0</v>
      </c>
      <c r="S103" s="40" t="str">
        <f>VLOOKUP(R103&amp;"-"&amp;T103,TGQC!$N$1:$Q$56,4,0)</f>
        <v>Failed</v>
      </c>
      <c r="T103" s="43"/>
    </row>
    <row r="104" spans="1:20" x14ac:dyDescent="0.3">
      <c r="A104" s="40">
        <v>91</v>
      </c>
      <c r="B104" s="41">
        <f>'DATA ENTRY'!B116</f>
        <v>0</v>
      </c>
      <c r="C104" s="41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str">
        <f>IFERROR(VLOOKUP(Q104,TGQC!$X$1:$Y$990,2),"0")</f>
        <v>0</v>
      </c>
      <c r="S104" s="40" t="str">
        <f>VLOOKUP(R104&amp;"-"&amp;T104,TGQC!$N$1:$Q$56,4,0)</f>
        <v>Failed</v>
      </c>
      <c r="T104" s="43"/>
    </row>
    <row r="105" spans="1:20" x14ac:dyDescent="0.3">
      <c r="A105" s="40">
        <v>92</v>
      </c>
      <c r="B105" s="41">
        <f>'DATA ENTRY'!B117</f>
        <v>0</v>
      </c>
      <c r="C105" s="41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str">
        <f>IFERROR(VLOOKUP(Q105,TGQC!$X$1:$Y$990,2),"0")</f>
        <v>0</v>
      </c>
      <c r="S105" s="40" t="str">
        <f>VLOOKUP(R105&amp;"-"&amp;T105,TGQC!$N$1:$Q$56,4,0)</f>
        <v>Failed</v>
      </c>
      <c r="T105" s="43"/>
    </row>
    <row r="106" spans="1:20" x14ac:dyDescent="0.3">
      <c r="A106" s="40">
        <v>93</v>
      </c>
      <c r="B106" s="41">
        <f>'DATA ENTRY'!B118</f>
        <v>0</v>
      </c>
      <c r="C106" s="41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str">
        <f>IFERROR(VLOOKUP(Q106,TGQC!$X$1:$Y$990,2),"0")</f>
        <v>0</v>
      </c>
      <c r="S106" s="40" t="str">
        <f>VLOOKUP(R106&amp;"-"&amp;T106,TGQC!$N$1:$Q$56,4,0)</f>
        <v>Failed</v>
      </c>
      <c r="T106" s="43"/>
    </row>
    <row r="107" spans="1:20" x14ac:dyDescent="0.3">
      <c r="A107" s="40">
        <v>94</v>
      </c>
      <c r="B107" s="41">
        <f>'DATA ENTRY'!B119</f>
        <v>0</v>
      </c>
      <c r="C107" s="41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str">
        <f>IFERROR(VLOOKUP(Q107,TGQC!$X$1:$Y$990,2),"0")</f>
        <v>0</v>
      </c>
      <c r="S107" s="40" t="str">
        <f>VLOOKUP(R107&amp;"-"&amp;T107,TGQC!$N$1:$Q$56,4,0)</f>
        <v>Failed</v>
      </c>
      <c r="T107" s="43"/>
    </row>
    <row r="108" spans="1:20" x14ac:dyDescent="0.3">
      <c r="A108" s="40">
        <v>95</v>
      </c>
      <c r="B108" s="41">
        <f>'DATA ENTRY'!B120</f>
        <v>0</v>
      </c>
      <c r="C108" s="41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str">
        <f>IFERROR(VLOOKUP(Q108,TGQC!$X$1:$Y$990,2),"0")</f>
        <v>0</v>
      </c>
      <c r="S108" s="40" t="str">
        <f>VLOOKUP(R108&amp;"-"&amp;T108,TGQC!$N$1:$Q$56,4,0)</f>
        <v>Failed</v>
      </c>
      <c r="T108" s="43"/>
    </row>
    <row r="109" spans="1:20" x14ac:dyDescent="0.3">
      <c r="A109" s="40">
        <v>96</v>
      </c>
      <c r="B109" s="41">
        <f>'DATA ENTRY'!B121</f>
        <v>0</v>
      </c>
      <c r="C109" s="41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str">
        <f>IFERROR(VLOOKUP(Q109,TGQC!$X$1:$Y$990,2),"0")</f>
        <v>0</v>
      </c>
      <c r="S109" s="40" t="str">
        <f>VLOOKUP(R109&amp;"-"&amp;T109,TGQC!$N$1:$Q$56,4,0)</f>
        <v>Failed</v>
      </c>
      <c r="T109" s="43"/>
    </row>
    <row r="110" spans="1:20" x14ac:dyDescent="0.3">
      <c r="A110" s="40">
        <v>97</v>
      </c>
      <c r="B110" s="41">
        <f>'DATA ENTRY'!B122</f>
        <v>0</v>
      </c>
      <c r="C110" s="41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str">
        <f>IFERROR(VLOOKUP(Q110,TGQC!$X$1:$Y$990,2),"0")</f>
        <v>0</v>
      </c>
      <c r="S110" s="40" t="str">
        <f>VLOOKUP(R110&amp;"-"&amp;T110,TGQC!$N$1:$Q$56,4,0)</f>
        <v>Failed</v>
      </c>
      <c r="T110" s="43"/>
    </row>
    <row r="111" spans="1:20" x14ac:dyDescent="0.3">
      <c r="A111" s="40">
        <v>98</v>
      </c>
      <c r="B111" s="41">
        <f>'DATA ENTRY'!B123</f>
        <v>0</v>
      </c>
      <c r="C111" s="41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str">
        <f>IFERROR(VLOOKUP(Q111,TGQC!$X$1:$Y$990,2),"0")</f>
        <v>0</v>
      </c>
      <c r="S111" s="40" t="str">
        <f>VLOOKUP(R111&amp;"-"&amp;T111,TGQC!$N$1:$Q$56,4,0)</f>
        <v>Failed</v>
      </c>
      <c r="T111" s="43"/>
    </row>
    <row r="112" spans="1:20" x14ac:dyDescent="0.3">
      <c r="A112" s="40">
        <v>99</v>
      </c>
      <c r="B112" s="41">
        <f>'DATA ENTRY'!B124</f>
        <v>0</v>
      </c>
      <c r="C112" s="41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str">
        <f>IFERROR(VLOOKUP(Q112,TGQC!$X$1:$Y$990,2),"0")</f>
        <v>0</v>
      </c>
      <c r="S112" s="40" t="str">
        <f>VLOOKUP(R112&amp;"-"&amp;T112,TGQC!$N$1:$Q$56,4,0)</f>
        <v>Failed</v>
      </c>
      <c r="T112" s="43"/>
    </row>
    <row r="113" spans="1:20" x14ac:dyDescent="0.3">
      <c r="A113" s="40">
        <v>100</v>
      </c>
      <c r="B113" s="41">
        <f>'DATA ENTRY'!B125</f>
        <v>0</v>
      </c>
      <c r="C113" s="41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str">
        <f>IFERROR(VLOOKUP(Q113,TGQC!$X$1:$Y$990,2),"0")</f>
        <v>0</v>
      </c>
      <c r="S113" s="40" t="str">
        <f>VLOOKUP(R113&amp;"-"&amp;T113,TGQC!$N$1:$Q$56,4,0)</f>
        <v>Failed</v>
      </c>
      <c r="T113" s="43"/>
    </row>
    <row r="114" spans="1:20" x14ac:dyDescent="0.3">
      <c r="M114" s="47"/>
      <c r="N114" s="47"/>
      <c r="O114" s="48"/>
      <c r="P114" s="48"/>
      <c r="Q114" s="60"/>
    </row>
    <row r="115" spans="1:20" x14ac:dyDescent="0.3">
      <c r="M115" s="47"/>
      <c r="N115" s="47"/>
      <c r="O115" s="48"/>
      <c r="P115" s="48"/>
      <c r="Q115" s="60"/>
    </row>
  </sheetData>
  <sheetProtection algorithmName="SHA-512" hashValue="iOcytvn54V55PBxQWMjAY6KK6tN7cFBs+sedI5bolCYdJcer1e48bQ+sWQBiL28QS5TNV3jpMCkcpVfc0RHPoQ==" saltValue="fB7068W0fg93zrLptb1e/Q==" spinCount="100000" sheet="1" objects="1" scenarios="1"/>
  <mergeCells count="23">
    <mergeCell ref="T12:T13"/>
    <mergeCell ref="J12:N12"/>
    <mergeCell ref="O12:O13"/>
    <mergeCell ref="P12:P13"/>
    <mergeCell ref="Q12:Q13"/>
    <mergeCell ref="R12:R13"/>
    <mergeCell ref="S12:S13"/>
    <mergeCell ref="K6:M6"/>
    <mergeCell ref="Q6:R6"/>
    <mergeCell ref="K7:M7"/>
    <mergeCell ref="K8:M8"/>
    <mergeCell ref="C9:H9"/>
    <mergeCell ref="A12:A13"/>
    <mergeCell ref="B12:B13"/>
    <mergeCell ref="C12:C13"/>
    <mergeCell ref="D12:H12"/>
    <mergeCell ref="I12:I13"/>
    <mergeCell ref="A1:S1"/>
    <mergeCell ref="A2:S2"/>
    <mergeCell ref="A3:S3"/>
    <mergeCell ref="A4:S4"/>
    <mergeCell ref="K5:M5"/>
    <mergeCell ref="Q5:R5"/>
  </mergeCells>
  <conditionalFormatting sqref="A2:S2">
    <cfRule type="cellIs" dxfId="18" priority="4" operator="equal">
      <formula>0</formula>
    </cfRule>
  </conditionalFormatting>
  <conditionalFormatting sqref="B14:C113">
    <cfRule type="cellIs" dxfId="17" priority="10" operator="equal">
      <formula>0</formula>
    </cfRule>
  </conditionalFormatting>
  <conditionalFormatting sqref="C5:H10">
    <cfRule type="cellIs" dxfId="16" priority="7" operator="equal">
      <formula>0</formula>
    </cfRule>
  </conditionalFormatting>
  <conditionalFormatting sqref="D14:H113">
    <cfRule type="containsBlanks" dxfId="15" priority="3">
      <formula>LEN(TRIM(D14))=0</formula>
    </cfRule>
  </conditionalFormatting>
  <conditionalFormatting sqref="J14:N113">
    <cfRule type="containsBlanks" dxfId="14" priority="2">
      <formula>LEN(TRIM(J14))=0</formula>
    </cfRule>
  </conditionalFormatting>
  <conditionalFormatting sqref="K5:M8">
    <cfRule type="cellIs" dxfId="13" priority="6" operator="equal">
      <formula>0</formula>
    </cfRule>
  </conditionalFormatting>
  <conditionalFormatting sqref="P14:P113">
    <cfRule type="containsBlanks" dxfId="12" priority="1">
      <formula>LEN(TRIM(P14))=0</formula>
    </cfRule>
  </conditionalFormatting>
  <conditionalFormatting sqref="Q5:R6">
    <cfRule type="cellIs" dxfId="11" priority="5" operator="equal">
      <formula>0</formula>
    </cfRule>
  </conditionalFormatting>
  <conditionalFormatting sqref="R14:S113">
    <cfRule type="containsErrors" dxfId="10" priority="8">
      <formula>ISERROR(R14)</formula>
    </cfRule>
  </conditionalFormatting>
  <conditionalFormatting sqref="S14:S113">
    <cfRule type="containsText" dxfId="9" priority="16" operator="containsText" text="Passed">
      <formula>NOT(ISERROR(SEARCH("Passed",S14)))</formula>
    </cfRule>
    <cfRule type="containsText" dxfId="8" priority="17" operator="containsText" text="Incomplete">
      <formula>NOT(ISERROR(SEARCH("Incomplete",S14)))</formula>
    </cfRule>
    <cfRule type="containsText" dxfId="7" priority="18" operator="containsText" text="Dropped">
      <formula>NOT(ISERROR(SEARCH("Dropped",S14)))</formula>
    </cfRule>
    <cfRule type="containsText" dxfId="6" priority="19" operator="containsText" text="In Progress">
      <formula>NOT(ISERROR(SEARCH("In Progress",S14)))</formula>
    </cfRule>
  </conditionalFormatting>
  <conditionalFormatting sqref="S14:T113">
    <cfRule type="containsText" dxfId="5" priority="20" operator="containsText" text="Failed">
      <formula>NOT(ISERROR(SEARCH("Failed",S14)))</formula>
    </cfRule>
  </conditionalFormatting>
  <dataValidations disablePrompts="1" xWindow="1175" yWindow="546" count="1">
    <dataValidation type="list" allowBlank="1" showInputMessage="1" showErrorMessage="1" promptTitle="Student Marking" prompt="Student may be marked as_x000a__x000a_INC - Incomplete_x000a_IP - In progress_x000a_DRP - Dropped" sqref="T14:T113" xr:uid="{00000000-0002-0000-0300-000000000000}">
      <formula1>"IP, INC, DRP"</formula1>
    </dataValidation>
  </dataValidations>
  <pageMargins left="0.25" right="0.25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xWindow="1175" yWindow="546" count="1">
        <x14:dataValidation type="list" allowBlank="1" showInputMessage="1" showErrorMessage="1" prompt="Please use the drop-_x000a_down list for Class standing" xr:uid="{00000000-0002-0000-0300-000001000000}">
          <x14:formula1>
            <xm:f>Data!$A$35:$A$40</xm:f>
          </x14:formula1>
          <xm:sqref>J13:N13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13"/>
  <sheetViews>
    <sheetView showGridLines="0" view="pageBreakPreview" topLeftCell="A23" zoomScale="130" zoomScaleNormal="130" zoomScaleSheetLayoutView="130" workbookViewId="0">
      <selection activeCell="F37" sqref="E37:F37"/>
    </sheetView>
  </sheetViews>
  <sheetFormatPr defaultColWidth="9.21875" defaultRowHeight="13.8" x14ac:dyDescent="0.25"/>
  <cols>
    <col min="1" max="1" width="6.44140625" style="32" customWidth="1"/>
    <col min="2" max="2" width="17.33203125" style="32" customWidth="1"/>
    <col min="3" max="3" width="31.6640625" style="32" customWidth="1"/>
    <col min="4" max="6" width="4.6640625" style="32" customWidth="1"/>
    <col min="7" max="7" width="6.6640625" style="32" customWidth="1"/>
    <col min="8" max="8" width="5.33203125" style="32" customWidth="1"/>
    <col min="9" max="9" width="8.44140625" style="32" hidden="1" customWidth="1"/>
    <col min="10" max="10" width="14.6640625" style="32" customWidth="1"/>
    <col min="11" max="16384" width="9.21875" style="49"/>
  </cols>
  <sheetData>
    <row r="1" spans="1:10" ht="23.4" x14ac:dyDescent="0.4">
      <c r="A1" s="92" t="s">
        <v>24</v>
      </c>
      <c r="B1" s="92"/>
      <c r="C1" s="92"/>
      <c r="D1" s="92"/>
      <c r="E1" s="92"/>
      <c r="F1" s="92"/>
      <c r="G1" s="92"/>
      <c r="H1" s="92"/>
      <c r="I1" s="92"/>
      <c r="J1" s="58"/>
    </row>
    <row r="2" spans="1:10" x14ac:dyDescent="0.25">
      <c r="A2" s="85" t="str">
        <f>'DATA ENTRY'!E6</f>
        <v>Antipolo City</v>
      </c>
      <c r="B2" s="85"/>
      <c r="C2" s="85"/>
      <c r="D2" s="85"/>
      <c r="E2" s="85"/>
      <c r="F2" s="85"/>
      <c r="G2" s="85"/>
      <c r="H2" s="85"/>
      <c r="I2" s="85"/>
    </row>
    <row r="3" spans="1:10" x14ac:dyDescent="0.25">
      <c r="A3" s="93" t="s">
        <v>114</v>
      </c>
      <c r="B3" s="85"/>
      <c r="C3" s="85"/>
      <c r="D3" s="85"/>
      <c r="E3" s="85"/>
      <c r="F3" s="85"/>
      <c r="G3" s="85"/>
      <c r="H3" s="85"/>
      <c r="I3" s="85"/>
    </row>
    <row r="4" spans="1:10" x14ac:dyDescent="0.25">
      <c r="B4" s="50" t="s">
        <v>1</v>
      </c>
      <c r="C4" s="51">
        <f>'DATA ENTRY'!C10</f>
        <v>0</v>
      </c>
      <c r="D4" s="51" t="s">
        <v>115</v>
      </c>
      <c r="H4" s="94">
        <f>'DATA ENTRY'!C9</f>
        <v>0</v>
      </c>
      <c r="I4" s="94"/>
      <c r="J4" s="51"/>
    </row>
    <row r="5" spans="1:10" ht="14.4" x14ac:dyDescent="0.3">
      <c r="C5" s="34"/>
    </row>
    <row r="6" spans="1:10" ht="14.4" x14ac:dyDescent="0.3">
      <c r="A6" s="34"/>
      <c r="B6" s="35" t="s">
        <v>103</v>
      </c>
      <c r="C6" s="36">
        <f>'DATA ENTRY'!E9</f>
        <v>0</v>
      </c>
      <c r="D6" s="34"/>
      <c r="E6" s="34"/>
      <c r="F6" s="35" t="s">
        <v>107</v>
      </c>
      <c r="G6" s="89">
        <f>'DATA ENTRY'!C18</f>
        <v>0</v>
      </c>
      <c r="H6" s="89"/>
      <c r="I6" s="89"/>
      <c r="J6" s="36"/>
    </row>
    <row r="7" spans="1:10" ht="14.4" x14ac:dyDescent="0.3">
      <c r="A7" s="34"/>
      <c r="B7" s="35" t="str">
        <f>'DATA ENTRY'!D10</f>
        <v>DEAN</v>
      </c>
      <c r="C7" s="36">
        <f>'DATA ENTRY'!E10</f>
        <v>0</v>
      </c>
      <c r="D7" s="34"/>
      <c r="E7" s="34"/>
      <c r="F7" s="35" t="s">
        <v>108</v>
      </c>
      <c r="G7" s="89">
        <f>'DATA ENTRY'!C19</f>
        <v>0</v>
      </c>
      <c r="H7" s="89"/>
      <c r="I7" s="89"/>
      <c r="J7" s="36"/>
    </row>
    <row r="8" spans="1:10" ht="14.4" x14ac:dyDescent="0.3">
      <c r="A8" s="34"/>
      <c r="B8" s="35" t="s">
        <v>104</v>
      </c>
      <c r="C8" s="36">
        <f>'DATA ENTRY'!C11</f>
        <v>0</v>
      </c>
      <c r="D8" s="34"/>
      <c r="E8" s="34"/>
      <c r="F8" s="35" t="s">
        <v>109</v>
      </c>
      <c r="G8" s="89">
        <f>'DATA ENTRY'!C20</f>
        <v>0</v>
      </c>
      <c r="H8" s="89"/>
      <c r="I8" s="89"/>
      <c r="J8" s="36"/>
    </row>
    <row r="9" spans="1:10" ht="14.4" x14ac:dyDescent="0.3">
      <c r="A9" s="34"/>
      <c r="B9" s="35" t="s">
        <v>105</v>
      </c>
      <c r="C9" s="36">
        <f>'DATA ENTRY'!C12</f>
        <v>0</v>
      </c>
      <c r="D9" s="34"/>
      <c r="E9" s="34"/>
      <c r="F9" s="35" t="s">
        <v>111</v>
      </c>
      <c r="G9" s="89">
        <f>'DATA ENTRY'!C21</f>
        <v>0</v>
      </c>
      <c r="H9" s="89"/>
      <c r="I9" s="89"/>
      <c r="J9" s="36"/>
    </row>
    <row r="10" spans="1:10" ht="14.4" x14ac:dyDescent="0.3">
      <c r="A10" s="34"/>
      <c r="B10" s="35" t="s">
        <v>106</v>
      </c>
      <c r="C10" s="36">
        <f>'DATA ENTRY'!C13</f>
        <v>0</v>
      </c>
      <c r="D10" s="34"/>
      <c r="E10" s="34"/>
      <c r="F10" s="35" t="s">
        <v>116</v>
      </c>
      <c r="G10" s="89">
        <f>'DATA ENTRY'!E13</f>
        <v>0</v>
      </c>
      <c r="H10" s="89"/>
      <c r="I10" s="89"/>
      <c r="J10" s="36"/>
    </row>
    <row r="11" spans="1:10" ht="14.4" x14ac:dyDescent="0.3">
      <c r="A11" s="34"/>
      <c r="B11" s="35" t="s">
        <v>118</v>
      </c>
      <c r="C11" s="36">
        <f>'DATA ENTRY'!E14</f>
        <v>0</v>
      </c>
      <c r="D11" s="34"/>
      <c r="E11" s="34"/>
      <c r="F11" s="35"/>
      <c r="G11" s="36"/>
      <c r="H11" s="36"/>
      <c r="I11" s="36"/>
      <c r="J11" s="36"/>
    </row>
    <row r="13" spans="1:10" s="32" customFormat="1" ht="105" customHeight="1" x14ac:dyDescent="0.25">
      <c r="A13" s="52" t="s">
        <v>27</v>
      </c>
      <c r="B13" s="52" t="s">
        <v>28</v>
      </c>
      <c r="C13" s="52" t="s">
        <v>5</v>
      </c>
      <c r="D13" s="53" t="s">
        <v>113</v>
      </c>
      <c r="E13" s="53" t="s">
        <v>25</v>
      </c>
      <c r="F13" s="53" t="s">
        <v>26</v>
      </c>
      <c r="G13" s="54" t="s">
        <v>21</v>
      </c>
      <c r="H13" s="53" t="s">
        <v>20</v>
      </c>
      <c r="I13" s="53" t="s">
        <v>9</v>
      </c>
      <c r="J13" s="53" t="s">
        <v>9</v>
      </c>
    </row>
    <row r="14" spans="1:10" x14ac:dyDescent="0.25">
      <c r="A14" s="40">
        <v>1</v>
      </c>
      <c r="B14" s="40" t="str">
        <f>'DATA ENTRY'!B26</f>
        <v>23-QC04797</v>
      </c>
      <c r="C14" s="55" t="str">
        <f>'DATA ENTRY'!C26</f>
        <v>ABOL, ROLAND CARL SANTIAGO</v>
      </c>
      <c r="D14" s="56">
        <f>PRELIM!Q14</f>
        <v>30</v>
      </c>
      <c r="E14" s="56">
        <f>MIDTERM!Q14</f>
        <v>0</v>
      </c>
      <c r="F14" s="56">
        <f>FINAL!Q14</f>
        <v>80.5</v>
      </c>
      <c r="G14" s="57">
        <f>SUM(D14:F14)/3</f>
        <v>36.833333333333336</v>
      </c>
      <c r="H14" s="40">
        <f>VLOOKUP(G14,TGQC!$X$1:$Y$990,2)</f>
        <v>5</v>
      </c>
      <c r="I14" s="40" t="str">
        <f>VLOOKUP(H14,TGQC!$H$1:$I$13,2)</f>
        <v>Failed</v>
      </c>
      <c r="J14" s="40" t="str">
        <f>VLOOKUP(I14&amp;"-"&amp;FINAL!S14,TGQC!$S$1:$V$10,4,0)</f>
        <v>Failed</v>
      </c>
    </row>
    <row r="15" spans="1:10" x14ac:dyDescent="0.25">
      <c r="A15" s="40">
        <v>2</v>
      </c>
      <c r="B15" s="40" t="str">
        <f>'DATA ENTRY'!B27</f>
        <v>23-QC05073</v>
      </c>
      <c r="C15" s="55" t="str">
        <f>'DATA ENTRY'!C27</f>
        <v>AGUINALDO, ANGELO NIKHAIL SAN DIEGO</v>
      </c>
      <c r="D15" s="56">
        <f>PRELIM!Q15</f>
        <v>33.333333333333336</v>
      </c>
      <c r="E15" s="56">
        <f>MIDTERM!Q15</f>
        <v>0</v>
      </c>
      <c r="F15" s="56">
        <f>FINAL!Q15</f>
        <v>88</v>
      </c>
      <c r="G15" s="57">
        <f t="shared" ref="G15:G78" si="0">SUM(D15:F15)/3</f>
        <v>40.44444444444445</v>
      </c>
      <c r="H15" s="40">
        <f>VLOOKUP(G15,TGQC!$X$1:$Y$990,2)</f>
        <v>5</v>
      </c>
      <c r="I15" s="40" t="str">
        <f>VLOOKUP(H15,TGQC!$H$1:$I$13,2)</f>
        <v>Failed</v>
      </c>
      <c r="J15" s="40" t="str">
        <f>VLOOKUP(I15&amp;"-"&amp;FINAL!S15,TGQC!$S$1:$V$10,4,0)</f>
        <v>Failed</v>
      </c>
    </row>
    <row r="16" spans="1:10" x14ac:dyDescent="0.25">
      <c r="A16" s="40">
        <v>3</v>
      </c>
      <c r="B16" s="40" t="str">
        <f>'DATA ENTRY'!B28</f>
        <v>23-QC03798</v>
      </c>
      <c r="C16" s="55" t="str">
        <f>'DATA ENTRY'!C28</f>
        <v>BULUSAN, MA. CHRISTINA AVIEGAIL CABARUAN</v>
      </c>
      <c r="D16" s="56">
        <f>PRELIM!Q16</f>
        <v>31.833333333333332</v>
      </c>
      <c r="E16" s="56">
        <f>MIDTERM!Q16</f>
        <v>0</v>
      </c>
      <c r="F16" s="56">
        <f>FINAL!Q16</f>
        <v>100</v>
      </c>
      <c r="G16" s="57">
        <f t="shared" si="0"/>
        <v>43.94444444444445</v>
      </c>
      <c r="H16" s="40">
        <f>VLOOKUP(G16,TGQC!$X$1:$Y$990,2)</f>
        <v>5</v>
      </c>
      <c r="I16" s="40" t="str">
        <f>VLOOKUP(H16,TGQC!$H$1:$I$13,2)</f>
        <v>Failed</v>
      </c>
      <c r="J16" s="40" t="str">
        <f>VLOOKUP(I16&amp;"-"&amp;FINAL!S16,TGQC!$S$1:$V$10,4,0)</f>
        <v>Failed</v>
      </c>
    </row>
    <row r="17" spans="1:10" x14ac:dyDescent="0.25">
      <c r="A17" s="40">
        <v>4</v>
      </c>
      <c r="B17" s="40" t="str">
        <f>'DATA ENTRY'!B29</f>
        <v>23-QC03776</v>
      </c>
      <c r="C17" s="55" t="str">
        <f>'DATA ENTRY'!C29</f>
        <v>CAASI, SHAWN DHELRIC</v>
      </c>
      <c r="D17" s="56">
        <f>PRELIM!Q17</f>
        <v>31.666666666666668</v>
      </c>
      <c r="E17" s="56">
        <f>MIDTERM!Q17</f>
        <v>0</v>
      </c>
      <c r="F17" s="56">
        <f>FINAL!Q17</f>
        <v>99.666666666666671</v>
      </c>
      <c r="G17" s="57">
        <f t="shared" si="0"/>
        <v>43.777777777777779</v>
      </c>
      <c r="H17" s="40">
        <f>VLOOKUP(G17,TGQC!$X$1:$Y$990,2)</f>
        <v>5</v>
      </c>
      <c r="I17" s="40" t="str">
        <f>VLOOKUP(H17,TGQC!$H$1:$I$13,2)</f>
        <v>Failed</v>
      </c>
      <c r="J17" s="40" t="str">
        <f>VLOOKUP(I17&amp;"-"&amp;FINAL!S17,TGQC!$S$1:$V$10,4,0)</f>
        <v>Failed</v>
      </c>
    </row>
    <row r="18" spans="1:10" x14ac:dyDescent="0.25">
      <c r="A18" s="40">
        <v>5</v>
      </c>
      <c r="B18" s="40" t="str">
        <f>'DATA ENTRY'!B30</f>
        <v>23-QC04290</v>
      </c>
      <c r="C18" s="55" t="str">
        <f>'DATA ENTRY'!C30</f>
        <v>CATAAG, MARK LEONY BALUBAR</v>
      </c>
      <c r="D18" s="56">
        <f>PRELIM!Q18</f>
        <v>0</v>
      </c>
      <c r="E18" s="56">
        <f>MIDTERM!Q18</f>
        <v>0</v>
      </c>
      <c r="F18" s="56">
        <f>FINAL!Q18</f>
        <v>80</v>
      </c>
      <c r="G18" s="57">
        <f t="shared" si="0"/>
        <v>26.666666666666668</v>
      </c>
      <c r="H18" s="40">
        <f>VLOOKUP(G18,TGQC!$X$1:$Y$990,2)</f>
        <v>5</v>
      </c>
      <c r="I18" s="40" t="str">
        <f>VLOOKUP(H18,TGQC!$H$1:$I$13,2)</f>
        <v>Failed</v>
      </c>
      <c r="J18" s="40" t="str">
        <f>VLOOKUP(I18&amp;"-"&amp;FINAL!S18,TGQC!$S$1:$V$10,4,0)</f>
        <v>Failed</v>
      </c>
    </row>
    <row r="19" spans="1:10" x14ac:dyDescent="0.25">
      <c r="A19" s="40">
        <v>6</v>
      </c>
      <c r="B19" s="40" t="str">
        <f>'DATA ENTRY'!B31</f>
        <v>23-QC03565</v>
      </c>
      <c r="C19" s="55" t="str">
        <f>'DATA ENTRY'!C31</f>
        <v>CUNANAN, JASMINE MAE TIPRADO</v>
      </c>
      <c r="D19" s="56">
        <f>PRELIM!Q19</f>
        <v>31.333333333333332</v>
      </c>
      <c r="E19" s="56">
        <f>MIDTERM!Q19</f>
        <v>0</v>
      </c>
      <c r="F19" s="56">
        <f>FINAL!Q19</f>
        <v>82.166666666666671</v>
      </c>
      <c r="G19" s="57">
        <f t="shared" si="0"/>
        <v>37.833333333333336</v>
      </c>
      <c r="H19" s="40">
        <f>VLOOKUP(G19,TGQC!$X$1:$Y$990,2)</f>
        <v>5</v>
      </c>
      <c r="I19" s="40" t="str">
        <f>VLOOKUP(H19,TGQC!$H$1:$I$13,2)</f>
        <v>Failed</v>
      </c>
      <c r="J19" s="40" t="str">
        <f>VLOOKUP(I19&amp;"-"&amp;FINAL!S19,TGQC!$S$1:$V$10,4,0)</f>
        <v>Failed</v>
      </c>
    </row>
    <row r="20" spans="1:10" x14ac:dyDescent="0.25">
      <c r="A20" s="40">
        <v>7</v>
      </c>
      <c r="B20" s="40" t="str">
        <f>'DATA ENTRY'!B32</f>
        <v>23-QC04656</v>
      </c>
      <c r="C20" s="55" t="str">
        <f>'DATA ENTRY'!C32</f>
        <v>DE GUZMAN, ESPRIT DATUL</v>
      </c>
      <c r="D20" s="56">
        <f>PRELIM!Q20</f>
        <v>30.666666666666668</v>
      </c>
      <c r="E20" s="56">
        <f>MIDTERM!Q20</f>
        <v>0</v>
      </c>
      <c r="F20" s="56">
        <f>FINAL!Q20</f>
        <v>76.666666666666671</v>
      </c>
      <c r="G20" s="57">
        <f t="shared" si="0"/>
        <v>35.777777777777779</v>
      </c>
      <c r="H20" s="40">
        <f>VLOOKUP(G20,TGQC!$X$1:$Y$990,2)</f>
        <v>5</v>
      </c>
      <c r="I20" s="40" t="str">
        <f>VLOOKUP(H20,TGQC!$H$1:$I$13,2)</f>
        <v>Failed</v>
      </c>
      <c r="J20" s="40" t="str">
        <f>VLOOKUP(I20&amp;"-"&amp;FINAL!S20,TGQC!$S$1:$V$10,4,0)</f>
        <v>Failed</v>
      </c>
    </row>
    <row r="21" spans="1:10" x14ac:dyDescent="0.25">
      <c r="A21" s="40">
        <v>8</v>
      </c>
      <c r="B21" s="40" t="str">
        <f>'DATA ENTRY'!B33</f>
        <v>23-QC04262</v>
      </c>
      <c r="C21" s="55" t="str">
        <f>'DATA ENTRY'!C33</f>
        <v>DE GUZMAN, JONATHAN EARL COPRADO</v>
      </c>
      <c r="D21" s="56">
        <f>PRELIM!Q21</f>
        <v>30</v>
      </c>
      <c r="E21" s="56">
        <f>MIDTERM!Q21</f>
        <v>0</v>
      </c>
      <c r="F21" s="56">
        <f>FINAL!Q21</f>
        <v>83.666666666666671</v>
      </c>
      <c r="G21" s="57">
        <f t="shared" si="0"/>
        <v>37.888888888888893</v>
      </c>
      <c r="H21" s="40">
        <f>VLOOKUP(G21,TGQC!$X$1:$Y$990,2)</f>
        <v>5</v>
      </c>
      <c r="I21" s="40" t="str">
        <f>VLOOKUP(H21,TGQC!$H$1:$I$13,2)</f>
        <v>Failed</v>
      </c>
      <c r="J21" s="40" t="str">
        <f>VLOOKUP(I21&amp;"-"&amp;FINAL!S21,TGQC!$S$1:$V$10,4,0)</f>
        <v>Failed</v>
      </c>
    </row>
    <row r="22" spans="1:10" x14ac:dyDescent="0.25">
      <c r="A22" s="40">
        <v>9</v>
      </c>
      <c r="B22" s="40" t="str">
        <f>'DATA ENTRY'!B34</f>
        <v>23-QC02958</v>
      </c>
      <c r="C22" s="55" t="str">
        <f>'DATA ENTRY'!C34</f>
        <v>DE VEGA, DENBER REYES</v>
      </c>
      <c r="D22" s="56">
        <f>PRELIM!Q22</f>
        <v>31</v>
      </c>
      <c r="E22" s="56">
        <f>MIDTERM!Q22</f>
        <v>0</v>
      </c>
      <c r="F22" s="56">
        <f>FINAL!Q22</f>
        <v>79.833333333333329</v>
      </c>
      <c r="G22" s="57">
        <f t="shared" si="0"/>
        <v>36.944444444444443</v>
      </c>
      <c r="H22" s="40">
        <f>VLOOKUP(G22,TGQC!$X$1:$Y$990,2)</f>
        <v>5</v>
      </c>
      <c r="I22" s="40" t="str">
        <f>VLOOKUP(H22,TGQC!$H$1:$I$13,2)</f>
        <v>Failed</v>
      </c>
      <c r="J22" s="40" t="str">
        <f>VLOOKUP(I22&amp;"-"&amp;FINAL!S22,TGQC!$S$1:$V$10,4,0)</f>
        <v>Failed</v>
      </c>
    </row>
    <row r="23" spans="1:10" x14ac:dyDescent="0.25">
      <c r="A23" s="40">
        <v>10</v>
      </c>
      <c r="B23" s="40" t="str">
        <f>'DATA ENTRY'!B35</f>
        <v>23-QC02881</v>
      </c>
      <c r="C23" s="55" t="str">
        <f>'DATA ENTRY'!C35</f>
        <v>ESPIRITU, VHYNCE ARNOLD AZUL</v>
      </c>
      <c r="D23" s="56">
        <f>PRELIM!Q23</f>
        <v>33.333333333333336</v>
      </c>
      <c r="E23" s="56">
        <f>MIDTERM!Q23</f>
        <v>0</v>
      </c>
      <c r="F23" s="56">
        <f>FINAL!Q23</f>
        <v>73.333333333333329</v>
      </c>
      <c r="G23" s="57">
        <f t="shared" si="0"/>
        <v>35.55555555555555</v>
      </c>
      <c r="H23" s="40">
        <f>VLOOKUP(G23,TGQC!$X$1:$Y$990,2)</f>
        <v>5</v>
      </c>
      <c r="I23" s="40" t="str">
        <f>VLOOKUP(H23,TGQC!$H$1:$I$13,2)</f>
        <v>Failed</v>
      </c>
      <c r="J23" s="40" t="str">
        <f>VLOOKUP(I23&amp;"-"&amp;FINAL!S23,TGQC!$S$1:$V$10,4,0)</f>
        <v>Failed</v>
      </c>
    </row>
    <row r="24" spans="1:10" x14ac:dyDescent="0.25">
      <c r="A24" s="40">
        <v>11</v>
      </c>
      <c r="B24" s="40" t="str">
        <f>'DATA ENTRY'!B36</f>
        <v>23-QC02960</v>
      </c>
      <c r="C24" s="55" t="str">
        <f>'DATA ENTRY'!C36</f>
        <v>GADIER, JOHN ENRICK ROBERTO</v>
      </c>
      <c r="D24" s="56">
        <f>PRELIM!Q24</f>
        <v>30</v>
      </c>
      <c r="E24" s="56">
        <f>MIDTERM!Q24</f>
        <v>0</v>
      </c>
      <c r="F24" s="56">
        <f>FINAL!Q24</f>
        <v>92.666666666666671</v>
      </c>
      <c r="G24" s="57">
        <f t="shared" si="0"/>
        <v>40.888888888888893</v>
      </c>
      <c r="H24" s="40">
        <f>VLOOKUP(G24,TGQC!$X$1:$Y$990,2)</f>
        <v>5</v>
      </c>
      <c r="I24" s="40" t="str">
        <f>VLOOKUP(H24,TGQC!$H$1:$I$13,2)</f>
        <v>Failed</v>
      </c>
      <c r="J24" s="40" t="str">
        <f>VLOOKUP(I24&amp;"-"&amp;FINAL!S24,TGQC!$S$1:$V$10,4,0)</f>
        <v>Failed</v>
      </c>
    </row>
    <row r="25" spans="1:10" x14ac:dyDescent="0.25">
      <c r="A25" s="40">
        <v>12</v>
      </c>
      <c r="B25" s="40" t="str">
        <f>'DATA ENTRY'!B37</f>
        <v>23-QC04082</v>
      </c>
      <c r="C25" s="55" t="str">
        <f>'DATA ENTRY'!C37</f>
        <v>GROSPE, KC SALGADO</v>
      </c>
      <c r="D25" s="56">
        <f>PRELIM!Q25</f>
        <v>31</v>
      </c>
      <c r="E25" s="56">
        <f>MIDTERM!Q25</f>
        <v>0</v>
      </c>
      <c r="F25" s="56">
        <f>FINAL!Q25</f>
        <v>96</v>
      </c>
      <c r="G25" s="57">
        <f t="shared" si="0"/>
        <v>42.333333333333336</v>
      </c>
      <c r="H25" s="40">
        <f>VLOOKUP(G25,TGQC!$X$1:$Y$990,2)</f>
        <v>5</v>
      </c>
      <c r="I25" s="40" t="str">
        <f>VLOOKUP(H25,TGQC!$H$1:$I$13,2)</f>
        <v>Failed</v>
      </c>
      <c r="J25" s="40" t="str">
        <f>VLOOKUP(I25&amp;"-"&amp;FINAL!S25,TGQC!$S$1:$V$10,4,0)</f>
        <v>Failed</v>
      </c>
    </row>
    <row r="26" spans="1:10" x14ac:dyDescent="0.25">
      <c r="A26" s="40">
        <v>13</v>
      </c>
      <c r="B26" s="40" t="str">
        <f>'DATA ENTRY'!B38</f>
        <v>23-QC04267</v>
      </c>
      <c r="C26" s="55" t="str">
        <f>'DATA ENTRY'!C38</f>
        <v>IGNACIO, RENIEL ELIZALDE RAMOS</v>
      </c>
      <c r="D26" s="56">
        <f>PRELIM!Q26</f>
        <v>31.666666666666668</v>
      </c>
      <c r="E26" s="56">
        <f>MIDTERM!Q26</f>
        <v>0</v>
      </c>
      <c r="F26" s="56">
        <f>FINAL!Q26</f>
        <v>89.833333333333329</v>
      </c>
      <c r="G26" s="57">
        <f t="shared" si="0"/>
        <v>40.5</v>
      </c>
      <c r="H26" s="40">
        <f>VLOOKUP(G26,TGQC!$X$1:$Y$990,2)</f>
        <v>5</v>
      </c>
      <c r="I26" s="40" t="str">
        <f>VLOOKUP(H26,TGQC!$H$1:$I$13,2)</f>
        <v>Failed</v>
      </c>
      <c r="J26" s="40" t="str">
        <f>VLOOKUP(I26&amp;"-"&amp;FINAL!S26,TGQC!$S$1:$V$10,4,0)</f>
        <v>Failed</v>
      </c>
    </row>
    <row r="27" spans="1:10" x14ac:dyDescent="0.25">
      <c r="A27" s="40">
        <v>14</v>
      </c>
      <c r="B27" s="40" t="str">
        <f>'DATA ENTRY'!B39</f>
        <v>23-QC04131</v>
      </c>
      <c r="C27" s="55" t="str">
        <f>'DATA ENTRY'!C39</f>
        <v>KIM, TSUYOSHI C</v>
      </c>
      <c r="D27" s="56">
        <f>PRELIM!Q27</f>
        <v>0</v>
      </c>
      <c r="E27" s="56">
        <f>MIDTERM!Q27</f>
        <v>0</v>
      </c>
      <c r="F27" s="56">
        <f>FINAL!Q27</f>
        <v>97.833333333333329</v>
      </c>
      <c r="G27" s="57">
        <f t="shared" si="0"/>
        <v>32.611111111111107</v>
      </c>
      <c r="H27" s="40">
        <f>VLOOKUP(G27,TGQC!$X$1:$Y$990,2)</f>
        <v>5</v>
      </c>
      <c r="I27" s="40" t="str">
        <f>VLOOKUP(H27,TGQC!$H$1:$I$13,2)</f>
        <v>Failed</v>
      </c>
      <c r="J27" s="40" t="str">
        <f>VLOOKUP(I27&amp;"-"&amp;FINAL!S27,TGQC!$S$1:$V$10,4,0)</f>
        <v>Failed</v>
      </c>
    </row>
    <row r="28" spans="1:10" x14ac:dyDescent="0.25">
      <c r="A28" s="40">
        <v>15</v>
      </c>
      <c r="B28" s="40" t="str">
        <f>'DATA ENTRY'!B40</f>
        <v>23-QC03556</v>
      </c>
      <c r="C28" s="55" t="str">
        <f>'DATA ENTRY'!C40</f>
        <v>LACEDA, JANN EIRRON PATACSIL</v>
      </c>
      <c r="D28" s="56">
        <f>PRELIM!Q28</f>
        <v>30.833333333333332</v>
      </c>
      <c r="E28" s="56">
        <f>MIDTERM!Q28</f>
        <v>0</v>
      </c>
      <c r="F28" s="56">
        <f>FINAL!Q28</f>
        <v>96</v>
      </c>
      <c r="G28" s="57">
        <f t="shared" si="0"/>
        <v>42.277777777777779</v>
      </c>
      <c r="H28" s="40">
        <f>VLOOKUP(G28,TGQC!$X$1:$Y$990,2)</f>
        <v>5</v>
      </c>
      <c r="I28" s="40" t="str">
        <f>VLOOKUP(H28,TGQC!$H$1:$I$13,2)</f>
        <v>Failed</v>
      </c>
      <c r="J28" s="40" t="str">
        <f>VLOOKUP(I28&amp;"-"&amp;FINAL!S28,TGQC!$S$1:$V$10,4,0)</f>
        <v>Failed</v>
      </c>
    </row>
    <row r="29" spans="1:10" x14ac:dyDescent="0.25">
      <c r="A29" s="40">
        <v>16</v>
      </c>
      <c r="B29" s="40" t="str">
        <f>'DATA ENTRY'!B41</f>
        <v>23-QC03532</v>
      </c>
      <c r="C29" s="55" t="str">
        <f>'DATA ENTRY'!C41</f>
        <v>LEGASPI, JOSHUA MONATO</v>
      </c>
      <c r="D29" s="56">
        <f>PRELIM!Q29</f>
        <v>30.333333333333332</v>
      </c>
      <c r="E29" s="56">
        <f>MIDTERM!Q29</f>
        <v>0</v>
      </c>
      <c r="F29" s="56">
        <f>FINAL!Q29</f>
        <v>73.333333333333329</v>
      </c>
      <c r="G29" s="57">
        <f t="shared" si="0"/>
        <v>34.55555555555555</v>
      </c>
      <c r="H29" s="40">
        <f>VLOOKUP(G29,TGQC!$X$1:$Y$990,2)</f>
        <v>5</v>
      </c>
      <c r="I29" s="40" t="str">
        <f>VLOOKUP(H29,TGQC!$H$1:$I$13,2)</f>
        <v>Failed</v>
      </c>
      <c r="J29" s="40" t="str">
        <f>VLOOKUP(I29&amp;"-"&amp;FINAL!S29,TGQC!$S$1:$V$10,4,0)</f>
        <v>Failed</v>
      </c>
    </row>
    <row r="30" spans="1:10" x14ac:dyDescent="0.25">
      <c r="A30" s="40">
        <v>17</v>
      </c>
      <c r="B30" s="40" t="str">
        <f>'DATA ENTRY'!B42</f>
        <v>23-QC03140</v>
      </c>
      <c r="C30" s="55" t="str">
        <f>'DATA ENTRY'!C42</f>
        <v>LIM, DOMINIC MARTIN COSCULLA</v>
      </c>
      <c r="D30" s="56">
        <f>PRELIM!Q30</f>
        <v>31.5</v>
      </c>
      <c r="E30" s="56">
        <f>MIDTERM!Q30</f>
        <v>0</v>
      </c>
      <c r="F30" s="56">
        <f>FINAL!Q30</f>
        <v>90</v>
      </c>
      <c r="G30" s="57">
        <f t="shared" si="0"/>
        <v>40.5</v>
      </c>
      <c r="H30" s="40">
        <f>VLOOKUP(G30,TGQC!$X$1:$Y$990,2)</f>
        <v>5</v>
      </c>
      <c r="I30" s="40" t="str">
        <f>VLOOKUP(H30,TGQC!$H$1:$I$13,2)</f>
        <v>Failed</v>
      </c>
      <c r="J30" s="40" t="str">
        <f>VLOOKUP(I30&amp;"-"&amp;FINAL!S30,TGQC!$S$1:$V$10,4,0)</f>
        <v>Failed</v>
      </c>
    </row>
    <row r="31" spans="1:10" x14ac:dyDescent="0.25">
      <c r="A31" s="40">
        <v>18</v>
      </c>
      <c r="B31" s="40" t="str">
        <f>'DATA ENTRY'!B43</f>
        <v>23-QC03808</v>
      </c>
      <c r="C31" s="55" t="str">
        <f>'DATA ENTRY'!C43</f>
        <v>LUPAZ, TEDDY BOY LOZANO</v>
      </c>
      <c r="D31" s="56">
        <f>PRELIM!Q31</f>
        <v>31.833333333333332</v>
      </c>
      <c r="E31" s="56">
        <f>MIDTERM!Q31</f>
        <v>0</v>
      </c>
      <c r="F31" s="56">
        <f>FINAL!Q31</f>
        <v>85.5</v>
      </c>
      <c r="G31" s="57">
        <f t="shared" si="0"/>
        <v>39.111111111111107</v>
      </c>
      <c r="H31" s="40">
        <f>VLOOKUP(G31,TGQC!$X$1:$Y$990,2)</f>
        <v>5</v>
      </c>
      <c r="I31" s="40" t="str">
        <f>VLOOKUP(H31,TGQC!$H$1:$I$13,2)</f>
        <v>Failed</v>
      </c>
      <c r="J31" s="40" t="str">
        <f>VLOOKUP(I31&amp;"-"&amp;FINAL!S31,TGQC!$S$1:$V$10,4,0)</f>
        <v>Failed</v>
      </c>
    </row>
    <row r="32" spans="1:10" x14ac:dyDescent="0.25">
      <c r="A32" s="40">
        <v>19</v>
      </c>
      <c r="B32" s="40" t="str">
        <f>'DATA ENTRY'!B44</f>
        <v>22-QC01720</v>
      </c>
      <c r="C32" s="55" t="str">
        <f>'DATA ENTRY'!C44</f>
        <v>MALICSI, RALPH MESONGCO</v>
      </c>
      <c r="D32" s="56">
        <f>PRELIM!Q32</f>
        <v>30.833333333333332</v>
      </c>
      <c r="E32" s="56">
        <f>MIDTERM!Q32</f>
        <v>0</v>
      </c>
      <c r="F32" s="56">
        <f>FINAL!Q32</f>
        <v>88.666666666666671</v>
      </c>
      <c r="G32" s="57">
        <f t="shared" si="0"/>
        <v>39.833333333333336</v>
      </c>
      <c r="H32" s="40">
        <f>VLOOKUP(G32,TGQC!$X$1:$Y$990,2)</f>
        <v>5</v>
      </c>
      <c r="I32" s="40" t="str">
        <f>VLOOKUP(H32,TGQC!$H$1:$I$13,2)</f>
        <v>Failed</v>
      </c>
      <c r="J32" s="40" t="str">
        <f>VLOOKUP(I32&amp;"-"&amp;FINAL!S32,TGQC!$S$1:$V$10,4,0)</f>
        <v>Failed</v>
      </c>
    </row>
    <row r="33" spans="1:10" x14ac:dyDescent="0.25">
      <c r="A33" s="40">
        <v>20</v>
      </c>
      <c r="B33" s="40" t="str">
        <f>'DATA ENTRY'!B45</f>
        <v>23-QC04505</v>
      </c>
      <c r="C33" s="55" t="str">
        <f>'DATA ENTRY'!C45</f>
        <v>MATIC, ROIZ FRANCIS JAMAHALI</v>
      </c>
      <c r="D33" s="56">
        <f>PRELIM!Q33</f>
        <v>28.333333333333332</v>
      </c>
      <c r="E33" s="56">
        <f>MIDTERM!Q33</f>
        <v>0</v>
      </c>
      <c r="F33" s="56">
        <f>FINAL!Q33</f>
        <v>89.666666666666671</v>
      </c>
      <c r="G33" s="57">
        <f t="shared" si="0"/>
        <v>39.333333333333336</v>
      </c>
      <c r="H33" s="40">
        <f>VLOOKUP(G33,TGQC!$X$1:$Y$990,2)</f>
        <v>5</v>
      </c>
      <c r="I33" s="40" t="str">
        <f>VLOOKUP(H33,TGQC!$H$1:$I$13,2)</f>
        <v>Failed</v>
      </c>
      <c r="J33" s="40" t="str">
        <f>VLOOKUP(I33&amp;"-"&amp;FINAL!S33,TGQC!$S$1:$V$10,4,0)</f>
        <v>Failed</v>
      </c>
    </row>
    <row r="34" spans="1:10" x14ac:dyDescent="0.25">
      <c r="A34" s="40">
        <v>21</v>
      </c>
      <c r="B34" s="40" t="str">
        <f>'DATA ENTRY'!B46</f>
        <v>23-QC04146</v>
      </c>
      <c r="C34" s="55" t="str">
        <f>'DATA ENTRY'!C46</f>
        <v>PAGUILA, CALEB LAMUEL SANGALANG</v>
      </c>
      <c r="D34" s="56">
        <f>PRELIM!Q34</f>
        <v>29.833333333333332</v>
      </c>
      <c r="E34" s="56">
        <f>MIDTERM!Q34</f>
        <v>0</v>
      </c>
      <c r="F34" s="56">
        <f>FINAL!Q34</f>
        <v>79.166666666666671</v>
      </c>
      <c r="G34" s="57">
        <f t="shared" si="0"/>
        <v>36.333333333333336</v>
      </c>
      <c r="H34" s="40">
        <f>VLOOKUP(G34,TGQC!$X$1:$Y$990,2)</f>
        <v>5</v>
      </c>
      <c r="I34" s="40" t="str">
        <f>VLOOKUP(H34,TGQC!$H$1:$I$13,2)</f>
        <v>Failed</v>
      </c>
      <c r="J34" s="40" t="str">
        <f>VLOOKUP(I34&amp;"-"&amp;FINAL!S34,TGQC!$S$1:$V$10,4,0)</f>
        <v>Failed</v>
      </c>
    </row>
    <row r="35" spans="1:10" x14ac:dyDescent="0.25">
      <c r="A35" s="40">
        <v>22</v>
      </c>
      <c r="B35" s="40" t="str">
        <f>'DATA ENTRY'!B47</f>
        <v>23-QC03088</v>
      </c>
      <c r="C35" s="55" t="str">
        <f>'DATA ENTRY'!C47</f>
        <v>PUZON, JOZIAH AZRIEL NIETES</v>
      </c>
      <c r="D35" s="56">
        <f>PRELIM!Q35</f>
        <v>32.5</v>
      </c>
      <c r="E35" s="56">
        <f>MIDTERM!Q35</f>
        <v>0</v>
      </c>
      <c r="F35" s="56">
        <f>FINAL!Q35</f>
        <v>81.333333333333329</v>
      </c>
      <c r="G35" s="57">
        <f t="shared" si="0"/>
        <v>37.944444444444443</v>
      </c>
      <c r="H35" s="40">
        <f>VLOOKUP(G35,TGQC!$X$1:$Y$990,2)</f>
        <v>5</v>
      </c>
      <c r="I35" s="40" t="str">
        <f>VLOOKUP(H35,TGQC!$H$1:$I$13,2)</f>
        <v>Failed</v>
      </c>
      <c r="J35" s="40" t="str">
        <f>VLOOKUP(I35&amp;"-"&amp;FINAL!S35,TGQC!$S$1:$V$10,4,0)</f>
        <v>Failed</v>
      </c>
    </row>
    <row r="36" spans="1:10" x14ac:dyDescent="0.25">
      <c r="A36" s="40">
        <v>23</v>
      </c>
      <c r="B36" s="40" t="str">
        <f>'DATA ENTRY'!B48</f>
        <v>23-QC04663</v>
      </c>
      <c r="C36" s="55" t="str">
        <f>'DATA ENTRY'!C48</f>
        <v>REBOQUIO, MARC DANIEL YU</v>
      </c>
      <c r="D36" s="56">
        <f>PRELIM!Q36</f>
        <v>31.666666666666668</v>
      </c>
      <c r="E36" s="56">
        <f>MIDTERM!Q36</f>
        <v>0</v>
      </c>
      <c r="F36" s="56">
        <f>FINAL!Q36</f>
        <v>76.666666666666671</v>
      </c>
      <c r="G36" s="57">
        <f t="shared" si="0"/>
        <v>36.111111111111114</v>
      </c>
      <c r="H36" s="40">
        <f>VLOOKUP(G36,TGQC!$X$1:$Y$990,2)</f>
        <v>5</v>
      </c>
      <c r="I36" s="40" t="str">
        <f>VLOOKUP(H36,TGQC!$H$1:$I$13,2)</f>
        <v>Failed</v>
      </c>
      <c r="J36" s="40" t="str">
        <f>VLOOKUP(I36&amp;"-"&amp;FINAL!S36,TGQC!$S$1:$V$10,4,0)</f>
        <v>Failed</v>
      </c>
    </row>
    <row r="37" spans="1:10" x14ac:dyDescent="0.25">
      <c r="A37" s="40">
        <v>24</v>
      </c>
      <c r="B37" s="40" t="str">
        <f>'DATA ENTRY'!B49</f>
        <v>24-QC14846</v>
      </c>
      <c r="C37" s="55" t="str">
        <f>'DATA ENTRY'!C49</f>
        <v>ROA, MONIQUE GARCES</v>
      </c>
      <c r="D37" s="56">
        <f>PRELIM!Q37</f>
        <v>29.333333333333332</v>
      </c>
      <c r="E37" s="56">
        <f>MIDTERM!Q37</f>
        <v>0</v>
      </c>
      <c r="F37" s="56">
        <f>FINAL!Q37</f>
        <v>69</v>
      </c>
      <c r="G37" s="57">
        <f t="shared" si="0"/>
        <v>32.777777777777779</v>
      </c>
      <c r="H37" s="40">
        <f>VLOOKUP(G37,TGQC!$X$1:$Y$990,2)</f>
        <v>5</v>
      </c>
      <c r="I37" s="40" t="str">
        <f>VLOOKUP(H37,TGQC!$H$1:$I$13,2)</f>
        <v>Failed</v>
      </c>
      <c r="J37" s="40" t="str">
        <f>VLOOKUP(I37&amp;"-"&amp;FINAL!S37,TGQC!$S$1:$V$10,4,0)</f>
        <v>Failed</v>
      </c>
    </row>
    <row r="38" spans="1:10" x14ac:dyDescent="0.25">
      <c r="A38" s="40">
        <v>25</v>
      </c>
      <c r="B38" s="40" t="str">
        <f>'DATA ENTRY'!B50</f>
        <v>23-QC03931</v>
      </c>
      <c r="C38" s="55" t="str">
        <f>'DATA ENTRY'!C50</f>
        <v>SANCHEZ, GODWIN BAUTISTA</v>
      </c>
      <c r="D38" s="56">
        <f>PRELIM!Q38</f>
        <v>31.166666666666668</v>
      </c>
      <c r="E38" s="56">
        <f>MIDTERM!Q38</f>
        <v>0</v>
      </c>
      <c r="F38" s="56">
        <f>FINAL!Q38</f>
        <v>87.833333333333329</v>
      </c>
      <c r="G38" s="57">
        <f t="shared" si="0"/>
        <v>39.666666666666664</v>
      </c>
      <c r="H38" s="40">
        <f>VLOOKUP(G38,TGQC!$X$1:$Y$990,2)</f>
        <v>5</v>
      </c>
      <c r="I38" s="40" t="str">
        <f>VLOOKUP(H38,TGQC!$H$1:$I$13,2)</f>
        <v>Failed</v>
      </c>
      <c r="J38" s="40" t="str">
        <f>VLOOKUP(I38&amp;"-"&amp;FINAL!S38,TGQC!$S$1:$V$10,4,0)</f>
        <v>Failed</v>
      </c>
    </row>
    <row r="39" spans="1:10" x14ac:dyDescent="0.25">
      <c r="A39" s="40">
        <v>26</v>
      </c>
      <c r="B39" s="40" t="str">
        <f>'DATA ENTRY'!B51</f>
        <v>23-QC03869</v>
      </c>
      <c r="C39" s="55" t="str">
        <f>'DATA ENTRY'!C51</f>
        <v>SANCHEZ, ZANDER CEDRIC</v>
      </c>
      <c r="D39" s="56">
        <f>PRELIM!Q39</f>
        <v>31</v>
      </c>
      <c r="E39" s="56">
        <f>MIDTERM!Q39</f>
        <v>0</v>
      </c>
      <c r="F39" s="56">
        <f>FINAL!Q39</f>
        <v>77.5</v>
      </c>
      <c r="G39" s="57">
        <f t="shared" si="0"/>
        <v>36.166666666666664</v>
      </c>
      <c r="H39" s="40">
        <f>VLOOKUP(G39,TGQC!$X$1:$Y$990,2)</f>
        <v>5</v>
      </c>
      <c r="I39" s="40" t="str">
        <f>VLOOKUP(H39,TGQC!$H$1:$I$13,2)</f>
        <v>Failed</v>
      </c>
      <c r="J39" s="40" t="str">
        <f>VLOOKUP(I39&amp;"-"&amp;FINAL!S39,TGQC!$S$1:$V$10,4,0)</f>
        <v>Failed</v>
      </c>
    </row>
    <row r="40" spans="1:10" x14ac:dyDescent="0.25">
      <c r="A40" s="40">
        <v>27</v>
      </c>
      <c r="B40" s="40" t="str">
        <f>'DATA ENTRY'!B52</f>
        <v>23-QC04693</v>
      </c>
      <c r="C40" s="55" t="str">
        <f>'DATA ENTRY'!C52</f>
        <v>SANTOS, CASEY ANN NONOSO</v>
      </c>
      <c r="D40" s="56">
        <f>PRELIM!Q40</f>
        <v>33.333333333333336</v>
      </c>
      <c r="E40" s="56">
        <f>MIDTERM!Q40</f>
        <v>0</v>
      </c>
      <c r="F40" s="56">
        <f>FINAL!Q40</f>
        <v>89.666666666666671</v>
      </c>
      <c r="G40" s="57">
        <f t="shared" si="0"/>
        <v>41</v>
      </c>
      <c r="H40" s="40">
        <f>VLOOKUP(G40,TGQC!$X$1:$Y$990,2)</f>
        <v>5</v>
      </c>
      <c r="I40" s="40" t="str">
        <f>VLOOKUP(H40,TGQC!$H$1:$I$13,2)</f>
        <v>Failed</v>
      </c>
      <c r="J40" s="40" t="str">
        <f>VLOOKUP(I40&amp;"-"&amp;FINAL!S40,TGQC!$S$1:$V$10,4,0)</f>
        <v>Failed</v>
      </c>
    </row>
    <row r="41" spans="1:10" x14ac:dyDescent="0.25">
      <c r="A41" s="40">
        <v>28</v>
      </c>
      <c r="B41" s="40" t="str">
        <f>'DATA ENTRY'!B53</f>
        <v>23-QC04799</v>
      </c>
      <c r="C41" s="55" t="str">
        <f>'DATA ENTRY'!C53</f>
        <v>SILVA, COLE KENNETH BARONA</v>
      </c>
      <c r="D41" s="56">
        <f>PRELIM!Q41</f>
        <v>31.333333333333332</v>
      </c>
      <c r="E41" s="56">
        <f>MIDTERM!Q41</f>
        <v>0</v>
      </c>
      <c r="F41" s="56">
        <f>FINAL!Q41</f>
        <v>87.833333333333329</v>
      </c>
      <c r="G41" s="57">
        <f t="shared" si="0"/>
        <v>39.722222222222221</v>
      </c>
      <c r="H41" s="40">
        <f>VLOOKUP(G41,TGQC!$X$1:$Y$990,2)</f>
        <v>5</v>
      </c>
      <c r="I41" s="40" t="str">
        <f>VLOOKUP(H41,TGQC!$H$1:$I$13,2)</f>
        <v>Failed</v>
      </c>
      <c r="J41" s="40" t="str">
        <f>VLOOKUP(I41&amp;"-"&amp;FINAL!S41,TGQC!$S$1:$V$10,4,0)</f>
        <v>Failed</v>
      </c>
    </row>
    <row r="42" spans="1:10" x14ac:dyDescent="0.25">
      <c r="A42" s="40">
        <v>29</v>
      </c>
      <c r="B42" s="40" t="str">
        <f>'DATA ENTRY'!B54</f>
        <v>24-QC13520</v>
      </c>
      <c r="C42" s="55" t="str">
        <f>'DATA ENTRY'!C54</f>
        <v>TAN, CHRISJAN GABRIEL SAGARIO</v>
      </c>
      <c r="D42" s="56">
        <f>PRELIM!Q42</f>
        <v>31.333333333333332</v>
      </c>
      <c r="E42" s="56">
        <f>MIDTERM!Q42</f>
        <v>0</v>
      </c>
      <c r="F42" s="56">
        <f>FINAL!Q42</f>
        <v>100</v>
      </c>
      <c r="G42" s="57">
        <f t="shared" si="0"/>
        <v>43.777777777777779</v>
      </c>
      <c r="H42" s="40">
        <f>VLOOKUP(G42,TGQC!$X$1:$Y$990,2)</f>
        <v>5</v>
      </c>
      <c r="I42" s="40" t="str">
        <f>VLOOKUP(H42,TGQC!$H$1:$I$13,2)</f>
        <v>Failed</v>
      </c>
      <c r="J42" s="40" t="str">
        <f>VLOOKUP(I42&amp;"-"&amp;FINAL!S42,TGQC!$S$1:$V$10,4,0)</f>
        <v>Failed</v>
      </c>
    </row>
    <row r="43" spans="1:10" x14ac:dyDescent="0.25">
      <c r="A43" s="40">
        <v>30</v>
      </c>
      <c r="B43" s="40" t="str">
        <f>'DATA ENTRY'!B55</f>
        <v>23-QC03657</v>
      </c>
      <c r="C43" s="55" t="str">
        <f>'DATA ENTRY'!C55</f>
        <v>TEMPORAL, O’NIELEXUS FLORES</v>
      </c>
      <c r="D43" s="56">
        <f>PRELIM!Q43</f>
        <v>30.166666666666668</v>
      </c>
      <c r="E43" s="56">
        <f>MIDTERM!Q43</f>
        <v>0</v>
      </c>
      <c r="F43" s="56">
        <f>FINAL!Q43</f>
        <v>69</v>
      </c>
      <c r="G43" s="57">
        <f t="shared" si="0"/>
        <v>33.055555555555557</v>
      </c>
      <c r="H43" s="40">
        <f>VLOOKUP(G43,TGQC!$X$1:$Y$990,2)</f>
        <v>5</v>
      </c>
      <c r="I43" s="40" t="str">
        <f>VLOOKUP(H43,TGQC!$H$1:$I$13,2)</f>
        <v>Failed</v>
      </c>
      <c r="J43" s="40" t="str">
        <f>VLOOKUP(I43&amp;"-"&amp;FINAL!S43,TGQC!$S$1:$V$10,4,0)</f>
        <v>Failed</v>
      </c>
    </row>
    <row r="44" spans="1:10" x14ac:dyDescent="0.25">
      <c r="A44" s="40">
        <v>31</v>
      </c>
      <c r="B44" s="40" t="str">
        <f>'DATA ENTRY'!B56</f>
        <v>23-QC04979</v>
      </c>
      <c r="C44" s="55" t="str">
        <f>'DATA ENTRY'!C56</f>
        <v>TULA, MALIC ANGCAS</v>
      </c>
      <c r="D44" s="56">
        <f>PRELIM!Q44</f>
        <v>30.333333333333332</v>
      </c>
      <c r="E44" s="56">
        <f>MIDTERM!Q44</f>
        <v>0</v>
      </c>
      <c r="F44" s="56">
        <f>FINAL!Q44</f>
        <v>0</v>
      </c>
      <c r="G44" s="57">
        <f t="shared" si="0"/>
        <v>10.111111111111111</v>
      </c>
      <c r="H44" s="40">
        <f>VLOOKUP(G44,TGQC!$X$1:$Y$990,2)</f>
        <v>5</v>
      </c>
      <c r="I44" s="40" t="str">
        <f>VLOOKUP(H44,TGQC!$H$1:$I$13,2)</f>
        <v>Failed</v>
      </c>
      <c r="J44" s="40" t="str">
        <f>VLOOKUP(I44&amp;"-"&amp;FINAL!S44,TGQC!$S$1:$V$10,4,0)</f>
        <v>Failed</v>
      </c>
    </row>
    <row r="45" spans="1:10" x14ac:dyDescent="0.25">
      <c r="A45" s="40">
        <v>32</v>
      </c>
      <c r="B45" s="40" t="str">
        <f>'DATA ENTRY'!B57</f>
        <v>23-QC04448</v>
      </c>
      <c r="C45" s="55" t="str">
        <f>'DATA ENTRY'!C57</f>
        <v>VALDEZ, MA. DANNIELLE LOUIESSE</v>
      </c>
      <c r="D45" s="56">
        <f>PRELIM!Q45</f>
        <v>0</v>
      </c>
      <c r="E45" s="56">
        <f>MIDTERM!Q45</f>
        <v>0</v>
      </c>
      <c r="F45" s="56">
        <f>FINAL!Q45</f>
        <v>0</v>
      </c>
      <c r="G45" s="57">
        <f t="shared" si="0"/>
        <v>0</v>
      </c>
      <c r="H45" s="40" t="e">
        <f>VLOOKUP(G45,TGQC!$X$1:$Y$990,2)</f>
        <v>#N/A</v>
      </c>
      <c r="I45" s="40" t="e">
        <f>VLOOKUP(H45,TGQC!$H$1:$I$13,2)</f>
        <v>#N/A</v>
      </c>
      <c r="J45" s="40" t="e">
        <f>VLOOKUP(I45&amp;"-"&amp;FINAL!S45,TGQC!$S$1:$V$10,4,0)</f>
        <v>#N/A</v>
      </c>
    </row>
    <row r="46" spans="1:10" x14ac:dyDescent="0.25">
      <c r="A46" s="40">
        <v>33</v>
      </c>
      <c r="B46" s="40">
        <f>'DATA ENTRY'!B58</f>
        <v>0</v>
      </c>
      <c r="C46" s="55" t="str">
        <f>'DATA ENTRY'!C58</f>
        <v>hernandez</v>
      </c>
      <c r="D46" s="56">
        <f>PRELIM!Q46</f>
        <v>31.333333333333332</v>
      </c>
      <c r="E46" s="56">
        <f>MIDTERM!Q46</f>
        <v>0</v>
      </c>
      <c r="F46" s="56">
        <f>FINAL!Q46</f>
        <v>0</v>
      </c>
      <c r="G46" s="57">
        <f t="shared" si="0"/>
        <v>10.444444444444445</v>
      </c>
      <c r="H46" s="40">
        <f>VLOOKUP(G46,TGQC!$X$1:$Y$990,2)</f>
        <v>5</v>
      </c>
      <c r="I46" s="40" t="str">
        <f>VLOOKUP(H46,TGQC!$H$1:$I$13,2)</f>
        <v>Failed</v>
      </c>
      <c r="J46" s="40" t="str">
        <f>VLOOKUP(I46&amp;"-"&amp;FINAL!S46,TGQC!$S$1:$V$10,4,0)</f>
        <v>Failed</v>
      </c>
    </row>
    <row r="47" spans="1:10" x14ac:dyDescent="0.25">
      <c r="A47" s="40">
        <v>34</v>
      </c>
      <c r="B47" s="40">
        <f>'DATA ENTRY'!B59</f>
        <v>0</v>
      </c>
      <c r="C47" s="55">
        <f>'DATA ENTRY'!C59</f>
        <v>0</v>
      </c>
      <c r="D47" s="56">
        <f>PRELIM!Q47</f>
        <v>0</v>
      </c>
      <c r="E47" s="56">
        <f>MIDTERM!Q47</f>
        <v>0</v>
      </c>
      <c r="F47" s="56">
        <f>FINAL!Q47</f>
        <v>0</v>
      </c>
      <c r="G47" s="57">
        <f t="shared" si="0"/>
        <v>0</v>
      </c>
      <c r="H47" s="40" t="e">
        <f>VLOOKUP(G47,TGQC!$X$1:$Y$990,2)</f>
        <v>#N/A</v>
      </c>
      <c r="I47" s="40" t="e">
        <f>VLOOKUP(H47,TGQC!$H$1:$I$13,2)</f>
        <v>#N/A</v>
      </c>
      <c r="J47" s="40" t="e">
        <f>VLOOKUP(I47&amp;"-"&amp;FINAL!S47,TGQC!$S$1:$V$10,4,0)</f>
        <v>#N/A</v>
      </c>
    </row>
    <row r="48" spans="1:10" x14ac:dyDescent="0.25">
      <c r="A48" s="40">
        <v>35</v>
      </c>
      <c r="B48" s="40">
        <f>'DATA ENTRY'!B60</f>
        <v>0</v>
      </c>
      <c r="C48" s="55">
        <f>'DATA ENTRY'!C60</f>
        <v>0</v>
      </c>
      <c r="D48" s="56">
        <f>PRELIM!Q48</f>
        <v>0</v>
      </c>
      <c r="E48" s="56">
        <f>MIDTERM!Q48</f>
        <v>0</v>
      </c>
      <c r="F48" s="56">
        <f>FINAL!Q48</f>
        <v>0</v>
      </c>
      <c r="G48" s="57">
        <f t="shared" si="0"/>
        <v>0</v>
      </c>
      <c r="H48" s="40" t="e">
        <f>VLOOKUP(G48,TGQC!$X$1:$Y$990,2)</f>
        <v>#N/A</v>
      </c>
      <c r="I48" s="40" t="e">
        <f>VLOOKUP(H48,TGQC!$H$1:$I$13,2)</f>
        <v>#N/A</v>
      </c>
      <c r="J48" s="40" t="e">
        <f>VLOOKUP(I48&amp;"-"&amp;FINAL!S48,TGQC!$S$1:$V$10,4,0)</f>
        <v>#N/A</v>
      </c>
    </row>
    <row r="49" spans="1:10" x14ac:dyDescent="0.25">
      <c r="A49" s="40">
        <v>36</v>
      </c>
      <c r="B49" s="40">
        <f>'DATA ENTRY'!B61</f>
        <v>0</v>
      </c>
      <c r="C49" s="55">
        <f>'DATA ENTRY'!C61</f>
        <v>0</v>
      </c>
      <c r="D49" s="56">
        <f>PRELIM!Q49</f>
        <v>0</v>
      </c>
      <c r="E49" s="56">
        <f>MIDTERM!Q49</f>
        <v>0</v>
      </c>
      <c r="F49" s="56">
        <f>FINAL!Q49</f>
        <v>0</v>
      </c>
      <c r="G49" s="57">
        <f t="shared" si="0"/>
        <v>0</v>
      </c>
      <c r="H49" s="40" t="e">
        <f>VLOOKUP(G49,TGQC!$X$1:$Y$990,2)</f>
        <v>#N/A</v>
      </c>
      <c r="I49" s="40" t="e">
        <f>VLOOKUP(H49,TGQC!$H$1:$I$13,2)</f>
        <v>#N/A</v>
      </c>
      <c r="J49" s="40" t="e">
        <f>VLOOKUP(I49&amp;"-"&amp;FINAL!S49,TGQC!$S$1:$V$10,4,0)</f>
        <v>#N/A</v>
      </c>
    </row>
    <row r="50" spans="1:10" x14ac:dyDescent="0.25">
      <c r="A50" s="40">
        <v>37</v>
      </c>
      <c r="B50" s="40">
        <f>'DATA ENTRY'!B62</f>
        <v>0</v>
      </c>
      <c r="C50" s="55">
        <f>'DATA ENTRY'!C62</f>
        <v>0</v>
      </c>
      <c r="D50" s="56">
        <f>PRELIM!Q50</f>
        <v>0</v>
      </c>
      <c r="E50" s="56">
        <f>MIDTERM!Q50</f>
        <v>0</v>
      </c>
      <c r="F50" s="56">
        <f>FINAL!Q50</f>
        <v>0</v>
      </c>
      <c r="G50" s="57">
        <f t="shared" si="0"/>
        <v>0</v>
      </c>
      <c r="H50" s="40" t="e">
        <f>VLOOKUP(G50,TGQC!$X$1:$Y$990,2)</f>
        <v>#N/A</v>
      </c>
      <c r="I50" s="40" t="e">
        <f>VLOOKUP(H50,TGQC!$H$1:$I$13,2)</f>
        <v>#N/A</v>
      </c>
      <c r="J50" s="40" t="e">
        <f>VLOOKUP(I50&amp;"-"&amp;FINAL!S50,TGQC!$S$1:$V$10,4,0)</f>
        <v>#N/A</v>
      </c>
    </row>
    <row r="51" spans="1:10" x14ac:dyDescent="0.25">
      <c r="A51" s="40">
        <v>38</v>
      </c>
      <c r="B51" s="40">
        <f>'DATA ENTRY'!B63</f>
        <v>0</v>
      </c>
      <c r="C51" s="55">
        <f>'DATA ENTRY'!C63</f>
        <v>0</v>
      </c>
      <c r="D51" s="56">
        <f>PRELIM!Q51</f>
        <v>0</v>
      </c>
      <c r="E51" s="56">
        <f>MIDTERM!Q51</f>
        <v>0</v>
      </c>
      <c r="F51" s="56">
        <f>FINAL!Q51</f>
        <v>0</v>
      </c>
      <c r="G51" s="57">
        <f t="shared" si="0"/>
        <v>0</v>
      </c>
      <c r="H51" s="40" t="e">
        <f>VLOOKUP(G51,TGQC!$X$1:$Y$990,2)</f>
        <v>#N/A</v>
      </c>
      <c r="I51" s="40" t="e">
        <f>VLOOKUP(H51,TGQC!$H$1:$I$13,2)</f>
        <v>#N/A</v>
      </c>
      <c r="J51" s="40" t="e">
        <f>VLOOKUP(I51&amp;"-"&amp;FINAL!S51,TGQC!$S$1:$V$10,4,0)</f>
        <v>#N/A</v>
      </c>
    </row>
    <row r="52" spans="1:10" x14ac:dyDescent="0.25">
      <c r="A52" s="40">
        <v>39</v>
      </c>
      <c r="B52" s="40">
        <f>'DATA ENTRY'!B64</f>
        <v>0</v>
      </c>
      <c r="C52" s="55">
        <f>'DATA ENTRY'!C64</f>
        <v>0</v>
      </c>
      <c r="D52" s="56">
        <f>PRELIM!Q52</f>
        <v>0</v>
      </c>
      <c r="E52" s="56">
        <f>MIDTERM!Q52</f>
        <v>0</v>
      </c>
      <c r="F52" s="56">
        <f>FINAL!Q52</f>
        <v>0</v>
      </c>
      <c r="G52" s="57">
        <f t="shared" si="0"/>
        <v>0</v>
      </c>
      <c r="H52" s="40" t="e">
        <f>VLOOKUP(G52,TGQC!$X$1:$Y$990,2)</f>
        <v>#N/A</v>
      </c>
      <c r="I52" s="40" t="e">
        <f>VLOOKUP(H52,TGQC!$H$1:$I$13,2)</f>
        <v>#N/A</v>
      </c>
      <c r="J52" s="40" t="e">
        <f>VLOOKUP(I52&amp;"-"&amp;FINAL!S52,TGQC!$S$1:$V$10,4,0)</f>
        <v>#N/A</v>
      </c>
    </row>
    <row r="53" spans="1:10" x14ac:dyDescent="0.25">
      <c r="A53" s="40">
        <v>40</v>
      </c>
      <c r="B53" s="40">
        <f>'DATA ENTRY'!B65</f>
        <v>0</v>
      </c>
      <c r="C53" s="55">
        <f>'DATA ENTRY'!C65</f>
        <v>0</v>
      </c>
      <c r="D53" s="56">
        <f>PRELIM!Q53</f>
        <v>0</v>
      </c>
      <c r="E53" s="56">
        <f>MIDTERM!Q53</f>
        <v>0</v>
      </c>
      <c r="F53" s="56">
        <f>FINAL!Q53</f>
        <v>0</v>
      </c>
      <c r="G53" s="57">
        <f t="shared" si="0"/>
        <v>0</v>
      </c>
      <c r="H53" s="40" t="e">
        <f>VLOOKUP(G53,TGQC!$X$1:$Y$990,2)</f>
        <v>#N/A</v>
      </c>
      <c r="I53" s="40" t="e">
        <f>VLOOKUP(H53,TGQC!$H$1:$I$13,2)</f>
        <v>#N/A</v>
      </c>
      <c r="J53" s="40" t="e">
        <f>VLOOKUP(I53&amp;"-"&amp;FINAL!S53,TGQC!$S$1:$V$10,4,0)</f>
        <v>#N/A</v>
      </c>
    </row>
    <row r="54" spans="1:10" x14ac:dyDescent="0.25">
      <c r="A54" s="40">
        <v>41</v>
      </c>
      <c r="B54" s="40">
        <f>'DATA ENTRY'!B66</f>
        <v>0</v>
      </c>
      <c r="C54" s="55">
        <f>'DATA ENTRY'!C66</f>
        <v>0</v>
      </c>
      <c r="D54" s="56">
        <f>PRELIM!Q54</f>
        <v>0</v>
      </c>
      <c r="E54" s="56">
        <f>MIDTERM!Q54</f>
        <v>0</v>
      </c>
      <c r="F54" s="56">
        <f>FINAL!Q54</f>
        <v>0</v>
      </c>
      <c r="G54" s="57">
        <f t="shared" si="0"/>
        <v>0</v>
      </c>
      <c r="H54" s="40" t="e">
        <f>VLOOKUP(G54,TGQC!$X$1:$Y$990,2)</f>
        <v>#N/A</v>
      </c>
      <c r="I54" s="40" t="e">
        <f>VLOOKUP(H54,TGQC!$H$1:$I$13,2)</f>
        <v>#N/A</v>
      </c>
      <c r="J54" s="40" t="e">
        <f>VLOOKUP(I54&amp;"-"&amp;FINAL!S54,TGQC!$S$1:$V$10,4,0)</f>
        <v>#N/A</v>
      </c>
    </row>
    <row r="55" spans="1:10" x14ac:dyDescent="0.25">
      <c r="A55" s="40">
        <v>42</v>
      </c>
      <c r="B55" s="40">
        <f>'DATA ENTRY'!B67</f>
        <v>0</v>
      </c>
      <c r="C55" s="55">
        <f>'DATA ENTRY'!C67</f>
        <v>0</v>
      </c>
      <c r="D55" s="56">
        <f>PRELIM!Q55</f>
        <v>0</v>
      </c>
      <c r="E55" s="56">
        <f>MIDTERM!Q55</f>
        <v>0</v>
      </c>
      <c r="F55" s="56">
        <f>FINAL!Q55</f>
        <v>0</v>
      </c>
      <c r="G55" s="57">
        <f t="shared" si="0"/>
        <v>0</v>
      </c>
      <c r="H55" s="40" t="e">
        <f>VLOOKUP(G55,TGQC!$X$1:$Y$990,2)</f>
        <v>#N/A</v>
      </c>
      <c r="I55" s="40" t="e">
        <f>VLOOKUP(H55,TGQC!$H$1:$I$13,2)</f>
        <v>#N/A</v>
      </c>
      <c r="J55" s="40" t="e">
        <f>VLOOKUP(I55&amp;"-"&amp;FINAL!S55,TGQC!$S$1:$V$10,4,0)</f>
        <v>#N/A</v>
      </c>
    </row>
    <row r="56" spans="1:10" x14ac:dyDescent="0.25">
      <c r="A56" s="40">
        <v>43</v>
      </c>
      <c r="B56" s="40">
        <f>'DATA ENTRY'!B68</f>
        <v>0</v>
      </c>
      <c r="C56" s="55">
        <f>'DATA ENTRY'!C68</f>
        <v>0</v>
      </c>
      <c r="D56" s="56">
        <f>PRELIM!Q56</f>
        <v>0</v>
      </c>
      <c r="E56" s="56">
        <f>MIDTERM!Q56</f>
        <v>0</v>
      </c>
      <c r="F56" s="56">
        <f>FINAL!Q56</f>
        <v>0</v>
      </c>
      <c r="G56" s="57">
        <f t="shared" si="0"/>
        <v>0</v>
      </c>
      <c r="H56" s="40" t="e">
        <f>VLOOKUP(G56,TGQC!$X$1:$Y$990,2)</f>
        <v>#N/A</v>
      </c>
      <c r="I56" s="40" t="e">
        <f>VLOOKUP(H56,TGQC!$H$1:$I$13,2)</f>
        <v>#N/A</v>
      </c>
      <c r="J56" s="40" t="e">
        <f>VLOOKUP(I56&amp;"-"&amp;FINAL!S56,TGQC!$S$1:$V$10,4,0)</f>
        <v>#N/A</v>
      </c>
    </row>
    <row r="57" spans="1:10" x14ac:dyDescent="0.25">
      <c r="A57" s="40">
        <v>44</v>
      </c>
      <c r="B57" s="40">
        <f>'DATA ENTRY'!B69</f>
        <v>0</v>
      </c>
      <c r="C57" s="55">
        <f>'DATA ENTRY'!C69</f>
        <v>0</v>
      </c>
      <c r="D57" s="56">
        <f>PRELIM!Q57</f>
        <v>0</v>
      </c>
      <c r="E57" s="56">
        <f>MIDTERM!Q57</f>
        <v>0</v>
      </c>
      <c r="F57" s="56">
        <f>FINAL!Q57</f>
        <v>0</v>
      </c>
      <c r="G57" s="57">
        <f t="shared" si="0"/>
        <v>0</v>
      </c>
      <c r="H57" s="40" t="e">
        <f>VLOOKUP(G57,TGQC!$X$1:$Y$990,2)</f>
        <v>#N/A</v>
      </c>
      <c r="I57" s="40" t="e">
        <f>VLOOKUP(H57,TGQC!$H$1:$I$13,2)</f>
        <v>#N/A</v>
      </c>
      <c r="J57" s="40" t="e">
        <f>VLOOKUP(I57&amp;"-"&amp;FINAL!S57,TGQC!$S$1:$V$10,4,0)</f>
        <v>#N/A</v>
      </c>
    </row>
    <row r="58" spans="1:10" x14ac:dyDescent="0.25">
      <c r="A58" s="40">
        <v>45</v>
      </c>
      <c r="B58" s="40">
        <f>'DATA ENTRY'!B70</f>
        <v>0</v>
      </c>
      <c r="C58" s="55">
        <f>'DATA ENTRY'!C70</f>
        <v>0</v>
      </c>
      <c r="D58" s="56">
        <f>PRELIM!Q58</f>
        <v>0</v>
      </c>
      <c r="E58" s="56">
        <f>MIDTERM!Q58</f>
        <v>0</v>
      </c>
      <c r="F58" s="56">
        <f>FINAL!Q58</f>
        <v>0</v>
      </c>
      <c r="G58" s="57">
        <f t="shared" si="0"/>
        <v>0</v>
      </c>
      <c r="H58" s="40" t="e">
        <f>VLOOKUP(G58,TGQC!$X$1:$Y$990,2)</f>
        <v>#N/A</v>
      </c>
      <c r="I58" s="40" t="e">
        <f>VLOOKUP(H58,TGQC!$H$1:$I$13,2)</f>
        <v>#N/A</v>
      </c>
      <c r="J58" s="40" t="e">
        <f>VLOOKUP(I58&amp;"-"&amp;FINAL!S58,TGQC!$S$1:$V$10,4,0)</f>
        <v>#N/A</v>
      </c>
    </row>
    <row r="59" spans="1:10" x14ac:dyDescent="0.25">
      <c r="A59" s="40">
        <v>46</v>
      </c>
      <c r="B59" s="40">
        <f>'DATA ENTRY'!B71</f>
        <v>0</v>
      </c>
      <c r="C59" s="55">
        <f>'DATA ENTRY'!C71</f>
        <v>0</v>
      </c>
      <c r="D59" s="56">
        <f>PRELIM!Q59</f>
        <v>0</v>
      </c>
      <c r="E59" s="56">
        <f>MIDTERM!Q59</f>
        <v>0</v>
      </c>
      <c r="F59" s="56">
        <f>FINAL!Q59</f>
        <v>0</v>
      </c>
      <c r="G59" s="57">
        <f t="shared" si="0"/>
        <v>0</v>
      </c>
      <c r="H59" s="40" t="e">
        <f>VLOOKUP(G59,TGQC!$X$1:$Y$990,2)</f>
        <v>#N/A</v>
      </c>
      <c r="I59" s="40" t="e">
        <f>VLOOKUP(H59,TGQC!$H$1:$I$13,2)</f>
        <v>#N/A</v>
      </c>
      <c r="J59" s="40" t="e">
        <f>VLOOKUP(I59&amp;"-"&amp;FINAL!S59,TGQC!$S$1:$V$10,4,0)</f>
        <v>#N/A</v>
      </c>
    </row>
    <row r="60" spans="1:10" x14ac:dyDescent="0.25">
      <c r="A60" s="40">
        <v>47</v>
      </c>
      <c r="B60" s="40">
        <f>'DATA ENTRY'!B72</f>
        <v>0</v>
      </c>
      <c r="C60" s="55">
        <f>'DATA ENTRY'!C72</f>
        <v>0</v>
      </c>
      <c r="D60" s="56">
        <f>PRELIM!Q60</f>
        <v>0</v>
      </c>
      <c r="E60" s="56">
        <f>MIDTERM!Q60</f>
        <v>0</v>
      </c>
      <c r="F60" s="56">
        <f>FINAL!Q60</f>
        <v>0</v>
      </c>
      <c r="G60" s="57">
        <f t="shared" si="0"/>
        <v>0</v>
      </c>
      <c r="H60" s="40" t="e">
        <f>VLOOKUP(G60,TGQC!$X$1:$Y$990,2)</f>
        <v>#N/A</v>
      </c>
      <c r="I60" s="40" t="e">
        <f>VLOOKUP(H60,TGQC!$H$1:$I$13,2)</f>
        <v>#N/A</v>
      </c>
      <c r="J60" s="40" t="e">
        <f>VLOOKUP(I60&amp;"-"&amp;FINAL!S60,TGQC!$S$1:$V$10,4,0)</f>
        <v>#N/A</v>
      </c>
    </row>
    <row r="61" spans="1:10" x14ac:dyDescent="0.25">
      <c r="A61" s="40">
        <v>48</v>
      </c>
      <c r="B61" s="40">
        <f>'DATA ENTRY'!B73</f>
        <v>0</v>
      </c>
      <c r="C61" s="55">
        <f>'DATA ENTRY'!C73</f>
        <v>0</v>
      </c>
      <c r="D61" s="56">
        <f>PRELIM!Q61</f>
        <v>0</v>
      </c>
      <c r="E61" s="56">
        <f>MIDTERM!Q61</f>
        <v>0</v>
      </c>
      <c r="F61" s="56">
        <f>FINAL!Q61</f>
        <v>0</v>
      </c>
      <c r="G61" s="57">
        <f t="shared" si="0"/>
        <v>0</v>
      </c>
      <c r="H61" s="40" t="e">
        <f>VLOOKUP(G61,TGQC!$X$1:$Y$990,2)</f>
        <v>#N/A</v>
      </c>
      <c r="I61" s="40" t="e">
        <f>VLOOKUP(H61,TGQC!$H$1:$I$13,2)</f>
        <v>#N/A</v>
      </c>
      <c r="J61" s="40" t="e">
        <f>VLOOKUP(I61&amp;"-"&amp;FINAL!S61,TGQC!$S$1:$V$10,4,0)</f>
        <v>#N/A</v>
      </c>
    </row>
    <row r="62" spans="1:10" x14ac:dyDescent="0.25">
      <c r="A62" s="40">
        <v>49</v>
      </c>
      <c r="B62" s="40">
        <f>'DATA ENTRY'!B74</f>
        <v>0</v>
      </c>
      <c r="C62" s="55">
        <f>'DATA ENTRY'!C74</f>
        <v>0</v>
      </c>
      <c r="D62" s="56">
        <f>PRELIM!Q62</f>
        <v>0</v>
      </c>
      <c r="E62" s="56">
        <f>MIDTERM!Q62</f>
        <v>0</v>
      </c>
      <c r="F62" s="56">
        <f>FINAL!Q62</f>
        <v>0</v>
      </c>
      <c r="G62" s="57">
        <f t="shared" si="0"/>
        <v>0</v>
      </c>
      <c r="H62" s="40" t="e">
        <f>VLOOKUP(G62,TGQC!$X$1:$Y$990,2)</f>
        <v>#N/A</v>
      </c>
      <c r="I62" s="40" t="e">
        <f>VLOOKUP(H62,TGQC!$H$1:$I$13,2)</f>
        <v>#N/A</v>
      </c>
      <c r="J62" s="40" t="e">
        <f>VLOOKUP(I62&amp;"-"&amp;FINAL!S62,TGQC!$S$1:$V$10,4,0)</f>
        <v>#N/A</v>
      </c>
    </row>
    <row r="63" spans="1:10" x14ac:dyDescent="0.25">
      <c r="A63" s="40">
        <v>50</v>
      </c>
      <c r="B63" s="40">
        <f>'DATA ENTRY'!B75</f>
        <v>0</v>
      </c>
      <c r="C63" s="55">
        <f>'DATA ENTRY'!C75</f>
        <v>0</v>
      </c>
      <c r="D63" s="56">
        <f>PRELIM!Q63</f>
        <v>0</v>
      </c>
      <c r="E63" s="56">
        <f>MIDTERM!Q63</f>
        <v>0</v>
      </c>
      <c r="F63" s="56">
        <f>FINAL!Q63</f>
        <v>0</v>
      </c>
      <c r="G63" s="57">
        <f t="shared" si="0"/>
        <v>0</v>
      </c>
      <c r="H63" s="40" t="e">
        <f>VLOOKUP(G63,TGQC!$X$1:$Y$990,2)</f>
        <v>#N/A</v>
      </c>
      <c r="I63" s="40" t="e">
        <f>VLOOKUP(H63,TGQC!$H$1:$I$13,2)</f>
        <v>#N/A</v>
      </c>
      <c r="J63" s="40" t="e">
        <f>VLOOKUP(I63&amp;"-"&amp;FINAL!S63,TGQC!$S$1:$V$10,4,0)</f>
        <v>#N/A</v>
      </c>
    </row>
    <row r="64" spans="1:10" x14ac:dyDescent="0.25">
      <c r="A64" s="40">
        <v>51</v>
      </c>
      <c r="B64" s="40">
        <f>'DATA ENTRY'!B76</f>
        <v>0</v>
      </c>
      <c r="C64" s="55">
        <f>'DATA ENTRY'!C76</f>
        <v>0</v>
      </c>
      <c r="D64" s="56">
        <f>PRELIM!Q64</f>
        <v>0</v>
      </c>
      <c r="E64" s="56">
        <f>MIDTERM!Q64</f>
        <v>0</v>
      </c>
      <c r="F64" s="56">
        <f>FINAL!Q64</f>
        <v>0</v>
      </c>
      <c r="G64" s="57">
        <f t="shared" si="0"/>
        <v>0</v>
      </c>
      <c r="H64" s="40" t="e">
        <f>VLOOKUP(G64,TGQC!$X$1:$Y$990,2)</f>
        <v>#N/A</v>
      </c>
      <c r="I64" s="40" t="e">
        <f>VLOOKUP(H64,TGQC!$H$1:$I$13,2)</f>
        <v>#N/A</v>
      </c>
      <c r="J64" s="40" t="e">
        <f>VLOOKUP(I64&amp;"-"&amp;FINAL!S64,TGQC!$S$1:$V$10,4,0)</f>
        <v>#N/A</v>
      </c>
    </row>
    <row r="65" spans="1:10" x14ac:dyDescent="0.25">
      <c r="A65" s="40">
        <v>52</v>
      </c>
      <c r="B65" s="40">
        <f>'DATA ENTRY'!B77</f>
        <v>0</v>
      </c>
      <c r="C65" s="55">
        <f>'DATA ENTRY'!C77</f>
        <v>0</v>
      </c>
      <c r="D65" s="56">
        <f>PRELIM!Q65</f>
        <v>0</v>
      </c>
      <c r="E65" s="56">
        <f>MIDTERM!Q65</f>
        <v>0</v>
      </c>
      <c r="F65" s="56">
        <f>FINAL!Q65</f>
        <v>0</v>
      </c>
      <c r="G65" s="57">
        <f t="shared" si="0"/>
        <v>0</v>
      </c>
      <c r="H65" s="40" t="e">
        <f>VLOOKUP(G65,TGQC!$X$1:$Y$990,2)</f>
        <v>#N/A</v>
      </c>
      <c r="I65" s="40" t="e">
        <f>VLOOKUP(H65,TGQC!$H$1:$I$13,2)</f>
        <v>#N/A</v>
      </c>
      <c r="J65" s="40" t="e">
        <f>VLOOKUP(I65&amp;"-"&amp;FINAL!S65,TGQC!$S$1:$V$10,4,0)</f>
        <v>#N/A</v>
      </c>
    </row>
    <row r="66" spans="1:10" x14ac:dyDescent="0.25">
      <c r="A66" s="40">
        <v>53</v>
      </c>
      <c r="B66" s="40">
        <f>'DATA ENTRY'!B78</f>
        <v>0</v>
      </c>
      <c r="C66" s="55">
        <f>'DATA ENTRY'!C78</f>
        <v>0</v>
      </c>
      <c r="D66" s="56">
        <f>PRELIM!Q66</f>
        <v>0</v>
      </c>
      <c r="E66" s="56">
        <f>MIDTERM!Q66</f>
        <v>0</v>
      </c>
      <c r="F66" s="56">
        <f>FINAL!Q66</f>
        <v>0</v>
      </c>
      <c r="G66" s="57">
        <f t="shared" si="0"/>
        <v>0</v>
      </c>
      <c r="H66" s="40" t="e">
        <f>VLOOKUP(G66,TGQC!$X$1:$Y$990,2)</f>
        <v>#N/A</v>
      </c>
      <c r="I66" s="40" t="e">
        <f>VLOOKUP(H66,TGQC!$H$1:$I$13,2)</f>
        <v>#N/A</v>
      </c>
      <c r="J66" s="40" t="e">
        <f>VLOOKUP(I66&amp;"-"&amp;FINAL!S66,TGQC!$S$1:$V$10,4,0)</f>
        <v>#N/A</v>
      </c>
    </row>
    <row r="67" spans="1:10" x14ac:dyDescent="0.25">
      <c r="A67" s="40">
        <v>54</v>
      </c>
      <c r="B67" s="40">
        <f>'DATA ENTRY'!B79</f>
        <v>0</v>
      </c>
      <c r="C67" s="55">
        <f>'DATA ENTRY'!C79</f>
        <v>0</v>
      </c>
      <c r="D67" s="56">
        <f>PRELIM!Q67</f>
        <v>0</v>
      </c>
      <c r="E67" s="56">
        <f>MIDTERM!Q67</f>
        <v>0</v>
      </c>
      <c r="F67" s="56">
        <f>FINAL!Q67</f>
        <v>0</v>
      </c>
      <c r="G67" s="57">
        <f t="shared" si="0"/>
        <v>0</v>
      </c>
      <c r="H67" s="40" t="e">
        <f>VLOOKUP(G67,TGQC!$X$1:$Y$990,2)</f>
        <v>#N/A</v>
      </c>
      <c r="I67" s="40" t="e">
        <f>VLOOKUP(H67,TGQC!$H$1:$I$13,2)</f>
        <v>#N/A</v>
      </c>
      <c r="J67" s="40" t="e">
        <f>VLOOKUP(I67&amp;"-"&amp;FINAL!S67,TGQC!$S$1:$V$10,4,0)</f>
        <v>#N/A</v>
      </c>
    </row>
    <row r="68" spans="1:10" x14ac:dyDescent="0.25">
      <c r="A68" s="40">
        <v>55</v>
      </c>
      <c r="B68" s="40">
        <f>'DATA ENTRY'!B80</f>
        <v>0</v>
      </c>
      <c r="C68" s="55">
        <f>'DATA ENTRY'!C80</f>
        <v>0</v>
      </c>
      <c r="D68" s="56">
        <f>PRELIM!Q68</f>
        <v>0</v>
      </c>
      <c r="E68" s="56">
        <f>MIDTERM!Q68</f>
        <v>0</v>
      </c>
      <c r="F68" s="56">
        <f>FINAL!Q68</f>
        <v>0</v>
      </c>
      <c r="G68" s="57">
        <f t="shared" si="0"/>
        <v>0</v>
      </c>
      <c r="H68" s="40" t="e">
        <f>VLOOKUP(G68,TGQC!$X$1:$Y$990,2)</f>
        <v>#N/A</v>
      </c>
      <c r="I68" s="40" t="e">
        <f>VLOOKUP(H68,TGQC!$H$1:$I$13,2)</f>
        <v>#N/A</v>
      </c>
      <c r="J68" s="40" t="e">
        <f>VLOOKUP(I68&amp;"-"&amp;FINAL!S68,TGQC!$S$1:$V$10,4,0)</f>
        <v>#N/A</v>
      </c>
    </row>
    <row r="69" spans="1:10" x14ac:dyDescent="0.25">
      <c r="A69" s="40">
        <v>56</v>
      </c>
      <c r="B69" s="40">
        <f>'DATA ENTRY'!B81</f>
        <v>0</v>
      </c>
      <c r="C69" s="55">
        <f>'DATA ENTRY'!C81</f>
        <v>0</v>
      </c>
      <c r="D69" s="56">
        <f>PRELIM!Q69</f>
        <v>0</v>
      </c>
      <c r="E69" s="56">
        <f>MIDTERM!Q69</f>
        <v>0</v>
      </c>
      <c r="F69" s="56">
        <f>FINAL!Q69</f>
        <v>0</v>
      </c>
      <c r="G69" s="57">
        <f t="shared" si="0"/>
        <v>0</v>
      </c>
      <c r="H69" s="40" t="e">
        <f>VLOOKUP(G69,TGQC!$X$1:$Y$990,2)</f>
        <v>#N/A</v>
      </c>
      <c r="I69" s="40" t="e">
        <f>VLOOKUP(H69,TGQC!$H$1:$I$13,2)</f>
        <v>#N/A</v>
      </c>
      <c r="J69" s="40" t="e">
        <f>VLOOKUP(I69&amp;"-"&amp;FINAL!S69,TGQC!$S$1:$V$10,4,0)</f>
        <v>#N/A</v>
      </c>
    </row>
    <row r="70" spans="1:10" x14ac:dyDescent="0.25">
      <c r="A70" s="40">
        <v>57</v>
      </c>
      <c r="B70" s="40">
        <f>'DATA ENTRY'!B82</f>
        <v>0</v>
      </c>
      <c r="C70" s="55">
        <f>'DATA ENTRY'!C82</f>
        <v>0</v>
      </c>
      <c r="D70" s="56">
        <f>PRELIM!Q70</f>
        <v>0</v>
      </c>
      <c r="E70" s="56">
        <f>MIDTERM!Q70</f>
        <v>0</v>
      </c>
      <c r="F70" s="56">
        <f>FINAL!Q70</f>
        <v>0</v>
      </c>
      <c r="G70" s="57">
        <f t="shared" si="0"/>
        <v>0</v>
      </c>
      <c r="H70" s="40" t="e">
        <f>VLOOKUP(G70,TGQC!$X$1:$Y$990,2)</f>
        <v>#N/A</v>
      </c>
      <c r="I70" s="40" t="e">
        <f>VLOOKUP(H70,TGQC!$H$1:$I$13,2)</f>
        <v>#N/A</v>
      </c>
      <c r="J70" s="40" t="e">
        <f>VLOOKUP(I70&amp;"-"&amp;FINAL!S70,TGQC!$S$1:$V$10,4,0)</f>
        <v>#N/A</v>
      </c>
    </row>
    <row r="71" spans="1:10" x14ac:dyDescent="0.25">
      <c r="A71" s="40">
        <v>58</v>
      </c>
      <c r="B71" s="40">
        <f>'DATA ENTRY'!B83</f>
        <v>0</v>
      </c>
      <c r="C71" s="55">
        <f>'DATA ENTRY'!C83</f>
        <v>0</v>
      </c>
      <c r="D71" s="56">
        <f>PRELIM!Q71</f>
        <v>0</v>
      </c>
      <c r="E71" s="56">
        <f>MIDTERM!Q71</f>
        <v>0</v>
      </c>
      <c r="F71" s="56">
        <f>FINAL!Q71</f>
        <v>0</v>
      </c>
      <c r="G71" s="57">
        <f t="shared" si="0"/>
        <v>0</v>
      </c>
      <c r="H71" s="40" t="e">
        <f>VLOOKUP(G71,TGQC!$X$1:$Y$990,2)</f>
        <v>#N/A</v>
      </c>
      <c r="I71" s="40" t="e">
        <f>VLOOKUP(H71,TGQC!$H$1:$I$13,2)</f>
        <v>#N/A</v>
      </c>
      <c r="J71" s="40" t="e">
        <f>VLOOKUP(I71&amp;"-"&amp;FINAL!S71,TGQC!$S$1:$V$10,4,0)</f>
        <v>#N/A</v>
      </c>
    </row>
    <row r="72" spans="1:10" x14ac:dyDescent="0.25">
      <c r="A72" s="40">
        <v>59</v>
      </c>
      <c r="B72" s="40">
        <f>'DATA ENTRY'!B84</f>
        <v>0</v>
      </c>
      <c r="C72" s="55">
        <f>'DATA ENTRY'!C84</f>
        <v>0</v>
      </c>
      <c r="D72" s="56">
        <f>PRELIM!Q72</f>
        <v>0</v>
      </c>
      <c r="E72" s="56">
        <f>MIDTERM!Q72</f>
        <v>0</v>
      </c>
      <c r="F72" s="56">
        <f>FINAL!Q72</f>
        <v>0</v>
      </c>
      <c r="G72" s="57">
        <f t="shared" si="0"/>
        <v>0</v>
      </c>
      <c r="H72" s="40" t="e">
        <f>VLOOKUP(G72,TGQC!$X$1:$Y$990,2)</f>
        <v>#N/A</v>
      </c>
      <c r="I72" s="40" t="e">
        <f>VLOOKUP(H72,TGQC!$H$1:$I$13,2)</f>
        <v>#N/A</v>
      </c>
      <c r="J72" s="40" t="e">
        <f>VLOOKUP(I72&amp;"-"&amp;FINAL!S72,TGQC!$S$1:$V$10,4,0)</f>
        <v>#N/A</v>
      </c>
    </row>
    <row r="73" spans="1:10" x14ac:dyDescent="0.25">
      <c r="A73" s="40">
        <v>60</v>
      </c>
      <c r="B73" s="40">
        <f>'DATA ENTRY'!B85</f>
        <v>0</v>
      </c>
      <c r="C73" s="55">
        <f>'DATA ENTRY'!C85</f>
        <v>0</v>
      </c>
      <c r="D73" s="56">
        <f>PRELIM!Q73</f>
        <v>0</v>
      </c>
      <c r="E73" s="56">
        <f>MIDTERM!Q73</f>
        <v>0</v>
      </c>
      <c r="F73" s="56">
        <f>FINAL!Q73</f>
        <v>0</v>
      </c>
      <c r="G73" s="57">
        <f t="shared" si="0"/>
        <v>0</v>
      </c>
      <c r="H73" s="40" t="e">
        <f>VLOOKUP(G73,TGQC!$X$1:$Y$990,2)</f>
        <v>#N/A</v>
      </c>
      <c r="I73" s="40" t="e">
        <f>VLOOKUP(H73,TGQC!$H$1:$I$13,2)</f>
        <v>#N/A</v>
      </c>
      <c r="J73" s="40" t="e">
        <f>VLOOKUP(I73&amp;"-"&amp;FINAL!S73,TGQC!$S$1:$V$10,4,0)</f>
        <v>#N/A</v>
      </c>
    </row>
    <row r="74" spans="1:10" x14ac:dyDescent="0.25">
      <c r="A74" s="40">
        <v>61</v>
      </c>
      <c r="B74" s="40">
        <f>'DATA ENTRY'!B86</f>
        <v>0</v>
      </c>
      <c r="C74" s="55">
        <f>'DATA ENTRY'!C86</f>
        <v>0</v>
      </c>
      <c r="D74" s="56">
        <f>PRELIM!Q74</f>
        <v>0</v>
      </c>
      <c r="E74" s="56">
        <f>MIDTERM!Q74</f>
        <v>0</v>
      </c>
      <c r="F74" s="56">
        <f>FINAL!Q74</f>
        <v>0</v>
      </c>
      <c r="G74" s="57">
        <f t="shared" si="0"/>
        <v>0</v>
      </c>
      <c r="H74" s="40" t="e">
        <f>VLOOKUP(G74,TGQC!$X$1:$Y$990,2)</f>
        <v>#N/A</v>
      </c>
      <c r="I74" s="40" t="e">
        <f>VLOOKUP(H74,TGQC!$H$1:$I$13,2)</f>
        <v>#N/A</v>
      </c>
      <c r="J74" s="40" t="e">
        <f>VLOOKUP(I74&amp;"-"&amp;FINAL!S74,TGQC!$S$1:$V$10,4,0)</f>
        <v>#N/A</v>
      </c>
    </row>
    <row r="75" spans="1:10" x14ac:dyDescent="0.25">
      <c r="A75" s="40">
        <v>62</v>
      </c>
      <c r="B75" s="40">
        <f>'DATA ENTRY'!B87</f>
        <v>0</v>
      </c>
      <c r="C75" s="55">
        <f>'DATA ENTRY'!C87</f>
        <v>0</v>
      </c>
      <c r="D75" s="56">
        <f>PRELIM!Q75</f>
        <v>0</v>
      </c>
      <c r="E75" s="56">
        <f>MIDTERM!Q75</f>
        <v>0</v>
      </c>
      <c r="F75" s="56">
        <f>FINAL!Q75</f>
        <v>0</v>
      </c>
      <c r="G75" s="57">
        <f t="shared" si="0"/>
        <v>0</v>
      </c>
      <c r="H75" s="40" t="e">
        <f>VLOOKUP(G75,TGQC!$X$1:$Y$990,2)</f>
        <v>#N/A</v>
      </c>
      <c r="I75" s="40" t="e">
        <f>VLOOKUP(H75,TGQC!$H$1:$I$13,2)</f>
        <v>#N/A</v>
      </c>
      <c r="J75" s="40" t="e">
        <f>VLOOKUP(I75&amp;"-"&amp;FINAL!S75,TGQC!$S$1:$V$10,4,0)</f>
        <v>#N/A</v>
      </c>
    </row>
    <row r="76" spans="1:10" x14ac:dyDescent="0.25">
      <c r="A76" s="40">
        <v>63</v>
      </c>
      <c r="B76" s="40">
        <f>'DATA ENTRY'!B88</f>
        <v>0</v>
      </c>
      <c r="C76" s="55">
        <f>'DATA ENTRY'!C88</f>
        <v>0</v>
      </c>
      <c r="D76" s="56">
        <f>PRELIM!Q76</f>
        <v>0</v>
      </c>
      <c r="E76" s="56">
        <f>MIDTERM!Q76</f>
        <v>0</v>
      </c>
      <c r="F76" s="56">
        <f>FINAL!Q76</f>
        <v>0</v>
      </c>
      <c r="G76" s="57">
        <f t="shared" si="0"/>
        <v>0</v>
      </c>
      <c r="H76" s="40" t="e">
        <f>VLOOKUP(G76,TGQC!$X$1:$Y$990,2)</f>
        <v>#N/A</v>
      </c>
      <c r="I76" s="40" t="e">
        <f>VLOOKUP(H76,TGQC!$H$1:$I$13,2)</f>
        <v>#N/A</v>
      </c>
      <c r="J76" s="40" t="e">
        <f>VLOOKUP(I76&amp;"-"&amp;FINAL!S76,TGQC!$S$1:$V$10,4,0)</f>
        <v>#N/A</v>
      </c>
    </row>
    <row r="77" spans="1:10" x14ac:dyDescent="0.25">
      <c r="A77" s="40">
        <v>64</v>
      </c>
      <c r="B77" s="40">
        <f>'DATA ENTRY'!B89</f>
        <v>0</v>
      </c>
      <c r="C77" s="55">
        <f>'DATA ENTRY'!C89</f>
        <v>0</v>
      </c>
      <c r="D77" s="56">
        <f>PRELIM!Q77</f>
        <v>0</v>
      </c>
      <c r="E77" s="56">
        <f>MIDTERM!Q77</f>
        <v>0</v>
      </c>
      <c r="F77" s="56">
        <f>FINAL!Q77</f>
        <v>0</v>
      </c>
      <c r="G77" s="57">
        <f t="shared" si="0"/>
        <v>0</v>
      </c>
      <c r="H77" s="40" t="e">
        <f>VLOOKUP(G77,TGQC!$X$1:$Y$990,2)</f>
        <v>#N/A</v>
      </c>
      <c r="I77" s="40" t="e">
        <f>VLOOKUP(H77,TGQC!$H$1:$I$13,2)</f>
        <v>#N/A</v>
      </c>
      <c r="J77" s="40" t="e">
        <f>VLOOKUP(I77&amp;"-"&amp;FINAL!S77,TGQC!$S$1:$V$10,4,0)</f>
        <v>#N/A</v>
      </c>
    </row>
    <row r="78" spans="1:10" x14ac:dyDescent="0.25">
      <c r="A78" s="40">
        <v>65</v>
      </c>
      <c r="B78" s="40">
        <f>'DATA ENTRY'!B90</f>
        <v>0</v>
      </c>
      <c r="C78" s="55">
        <f>'DATA ENTRY'!C90</f>
        <v>0</v>
      </c>
      <c r="D78" s="56">
        <f>PRELIM!Q78</f>
        <v>0</v>
      </c>
      <c r="E78" s="56">
        <f>MIDTERM!Q78</f>
        <v>0</v>
      </c>
      <c r="F78" s="56">
        <f>FINAL!Q78</f>
        <v>0</v>
      </c>
      <c r="G78" s="57">
        <f t="shared" si="0"/>
        <v>0</v>
      </c>
      <c r="H78" s="40" t="e">
        <f>VLOOKUP(G78,TGQC!$X$1:$Y$990,2)</f>
        <v>#N/A</v>
      </c>
      <c r="I78" s="40" t="e">
        <f>VLOOKUP(H78,TGQC!$H$1:$I$13,2)</f>
        <v>#N/A</v>
      </c>
      <c r="J78" s="40" t="e">
        <f>VLOOKUP(I78&amp;"-"&amp;FINAL!S78,TGQC!$S$1:$V$10,4,0)</f>
        <v>#N/A</v>
      </c>
    </row>
    <row r="79" spans="1:10" x14ac:dyDescent="0.25">
      <c r="A79" s="40">
        <v>66</v>
      </c>
      <c r="B79" s="40">
        <f>'DATA ENTRY'!B91</f>
        <v>0</v>
      </c>
      <c r="C79" s="55">
        <f>'DATA ENTRY'!C91</f>
        <v>0</v>
      </c>
      <c r="D79" s="56">
        <f>PRELIM!Q79</f>
        <v>0</v>
      </c>
      <c r="E79" s="56">
        <f>MIDTERM!Q79</f>
        <v>0</v>
      </c>
      <c r="F79" s="56">
        <f>FINAL!Q79</f>
        <v>0</v>
      </c>
      <c r="G79" s="57">
        <f t="shared" ref="G79:G113" si="1">SUM(D79:F79)/3</f>
        <v>0</v>
      </c>
      <c r="H79" s="40" t="e">
        <f>VLOOKUP(G79,TGQC!$X$1:$Y$990,2)</f>
        <v>#N/A</v>
      </c>
      <c r="I79" s="40" t="e">
        <f>VLOOKUP(H79,TGQC!$H$1:$I$13,2)</f>
        <v>#N/A</v>
      </c>
      <c r="J79" s="40" t="e">
        <f>VLOOKUP(I79&amp;"-"&amp;FINAL!S79,TGQC!$S$1:$V$10,4,0)</f>
        <v>#N/A</v>
      </c>
    </row>
    <row r="80" spans="1:10" x14ac:dyDescent="0.25">
      <c r="A80" s="40">
        <v>67</v>
      </c>
      <c r="B80" s="40">
        <f>'DATA ENTRY'!B92</f>
        <v>0</v>
      </c>
      <c r="C80" s="55">
        <f>'DATA ENTRY'!C92</f>
        <v>0</v>
      </c>
      <c r="D80" s="56">
        <f>PRELIM!Q80</f>
        <v>0</v>
      </c>
      <c r="E80" s="56">
        <f>MIDTERM!Q80</f>
        <v>0</v>
      </c>
      <c r="F80" s="56">
        <f>FINAL!Q80</f>
        <v>0</v>
      </c>
      <c r="G80" s="57">
        <f t="shared" si="1"/>
        <v>0</v>
      </c>
      <c r="H80" s="40" t="e">
        <f>VLOOKUP(G80,TGQC!$X$1:$Y$990,2)</f>
        <v>#N/A</v>
      </c>
      <c r="I80" s="40" t="e">
        <f>VLOOKUP(H80,TGQC!$H$1:$I$13,2)</f>
        <v>#N/A</v>
      </c>
      <c r="J80" s="40" t="e">
        <f>VLOOKUP(I80&amp;"-"&amp;FINAL!S80,TGQC!$S$1:$V$10,4,0)</f>
        <v>#N/A</v>
      </c>
    </row>
    <row r="81" spans="1:10" x14ac:dyDescent="0.25">
      <c r="A81" s="40">
        <v>68</v>
      </c>
      <c r="B81" s="40">
        <f>'DATA ENTRY'!B93</f>
        <v>0</v>
      </c>
      <c r="C81" s="55">
        <f>'DATA ENTRY'!C93</f>
        <v>0</v>
      </c>
      <c r="D81" s="56">
        <f>PRELIM!Q81</f>
        <v>0</v>
      </c>
      <c r="E81" s="56">
        <f>MIDTERM!Q81</f>
        <v>0</v>
      </c>
      <c r="F81" s="56">
        <f>FINAL!Q81</f>
        <v>0</v>
      </c>
      <c r="G81" s="57">
        <f t="shared" si="1"/>
        <v>0</v>
      </c>
      <c r="H81" s="40" t="e">
        <f>VLOOKUP(G81,TGQC!$X$1:$Y$990,2)</f>
        <v>#N/A</v>
      </c>
      <c r="I81" s="40" t="e">
        <f>VLOOKUP(H81,TGQC!$H$1:$I$13,2)</f>
        <v>#N/A</v>
      </c>
      <c r="J81" s="40" t="e">
        <f>VLOOKUP(I81&amp;"-"&amp;FINAL!S81,TGQC!$S$1:$V$10,4,0)</f>
        <v>#N/A</v>
      </c>
    </row>
    <row r="82" spans="1:10" x14ac:dyDescent="0.25">
      <c r="A82" s="40">
        <v>69</v>
      </c>
      <c r="B82" s="40">
        <f>'DATA ENTRY'!B94</f>
        <v>0</v>
      </c>
      <c r="C82" s="55">
        <f>'DATA ENTRY'!C94</f>
        <v>0</v>
      </c>
      <c r="D82" s="56">
        <f>PRELIM!Q82</f>
        <v>0</v>
      </c>
      <c r="E82" s="56">
        <f>MIDTERM!Q82</f>
        <v>0</v>
      </c>
      <c r="F82" s="56">
        <f>FINAL!Q82</f>
        <v>0</v>
      </c>
      <c r="G82" s="57">
        <f t="shared" si="1"/>
        <v>0</v>
      </c>
      <c r="H82" s="40" t="e">
        <f>VLOOKUP(G82,TGQC!$X$1:$Y$990,2)</f>
        <v>#N/A</v>
      </c>
      <c r="I82" s="40" t="e">
        <f>VLOOKUP(H82,TGQC!$H$1:$I$13,2)</f>
        <v>#N/A</v>
      </c>
      <c r="J82" s="40" t="e">
        <f>VLOOKUP(I82&amp;"-"&amp;FINAL!S82,TGQC!$S$1:$V$10,4,0)</f>
        <v>#N/A</v>
      </c>
    </row>
    <row r="83" spans="1:10" x14ac:dyDescent="0.25">
      <c r="A83" s="40">
        <v>70</v>
      </c>
      <c r="B83" s="40">
        <f>'DATA ENTRY'!B95</f>
        <v>0</v>
      </c>
      <c r="C83" s="55">
        <f>'DATA ENTRY'!C95</f>
        <v>0</v>
      </c>
      <c r="D83" s="56">
        <f>PRELIM!Q83</f>
        <v>0</v>
      </c>
      <c r="E83" s="56">
        <f>MIDTERM!Q83</f>
        <v>0</v>
      </c>
      <c r="F83" s="56">
        <f>FINAL!Q83</f>
        <v>0</v>
      </c>
      <c r="G83" s="57">
        <f t="shared" si="1"/>
        <v>0</v>
      </c>
      <c r="H83" s="40" t="e">
        <f>VLOOKUP(G83,TGQC!$X$1:$Y$990,2)</f>
        <v>#N/A</v>
      </c>
      <c r="I83" s="40" t="e">
        <f>VLOOKUP(H83,TGQC!$H$1:$I$13,2)</f>
        <v>#N/A</v>
      </c>
      <c r="J83" s="40" t="e">
        <f>VLOOKUP(I83&amp;"-"&amp;FINAL!S83,TGQC!$S$1:$V$10,4,0)</f>
        <v>#N/A</v>
      </c>
    </row>
    <row r="84" spans="1:10" x14ac:dyDescent="0.25">
      <c r="A84" s="40">
        <v>71</v>
      </c>
      <c r="B84" s="40">
        <f>'DATA ENTRY'!B96</f>
        <v>0</v>
      </c>
      <c r="C84" s="55">
        <f>'DATA ENTRY'!C96</f>
        <v>0</v>
      </c>
      <c r="D84" s="56">
        <f>PRELIM!Q84</f>
        <v>0</v>
      </c>
      <c r="E84" s="56">
        <f>MIDTERM!Q84</f>
        <v>0</v>
      </c>
      <c r="F84" s="56">
        <f>FINAL!Q84</f>
        <v>0</v>
      </c>
      <c r="G84" s="57">
        <f t="shared" si="1"/>
        <v>0</v>
      </c>
      <c r="H84" s="40" t="e">
        <f>VLOOKUP(G84,TGQC!$X$1:$Y$990,2)</f>
        <v>#N/A</v>
      </c>
      <c r="I84" s="40" t="e">
        <f>VLOOKUP(H84,TGQC!$H$1:$I$13,2)</f>
        <v>#N/A</v>
      </c>
      <c r="J84" s="40" t="e">
        <f>VLOOKUP(I84&amp;"-"&amp;FINAL!S84,TGQC!$S$1:$V$10,4,0)</f>
        <v>#N/A</v>
      </c>
    </row>
    <row r="85" spans="1:10" x14ac:dyDescent="0.25">
      <c r="A85" s="40">
        <v>72</v>
      </c>
      <c r="B85" s="40">
        <f>'DATA ENTRY'!B97</f>
        <v>0</v>
      </c>
      <c r="C85" s="55">
        <f>'DATA ENTRY'!C97</f>
        <v>0</v>
      </c>
      <c r="D85" s="56">
        <f>PRELIM!Q85</f>
        <v>0</v>
      </c>
      <c r="E85" s="56">
        <f>MIDTERM!Q85</f>
        <v>0</v>
      </c>
      <c r="F85" s="56">
        <f>FINAL!Q85</f>
        <v>0</v>
      </c>
      <c r="G85" s="57">
        <f t="shared" si="1"/>
        <v>0</v>
      </c>
      <c r="H85" s="40" t="e">
        <f>VLOOKUP(G85,TGQC!$X$1:$Y$990,2)</f>
        <v>#N/A</v>
      </c>
      <c r="I85" s="40" t="e">
        <f>VLOOKUP(H85,TGQC!$H$1:$I$13,2)</f>
        <v>#N/A</v>
      </c>
      <c r="J85" s="40" t="e">
        <f>VLOOKUP(I85&amp;"-"&amp;FINAL!S85,TGQC!$S$1:$V$10,4,0)</f>
        <v>#N/A</v>
      </c>
    </row>
    <row r="86" spans="1:10" x14ac:dyDescent="0.25">
      <c r="A86" s="40">
        <v>73</v>
      </c>
      <c r="B86" s="40">
        <f>'DATA ENTRY'!B98</f>
        <v>0</v>
      </c>
      <c r="C86" s="55">
        <f>'DATA ENTRY'!C98</f>
        <v>0</v>
      </c>
      <c r="D86" s="56">
        <f>PRELIM!Q86</f>
        <v>0</v>
      </c>
      <c r="E86" s="56">
        <f>MIDTERM!Q86</f>
        <v>0</v>
      </c>
      <c r="F86" s="56">
        <f>FINAL!Q86</f>
        <v>0</v>
      </c>
      <c r="G86" s="57">
        <f t="shared" si="1"/>
        <v>0</v>
      </c>
      <c r="H86" s="40" t="e">
        <f>VLOOKUP(G86,TGQC!$X$1:$Y$990,2)</f>
        <v>#N/A</v>
      </c>
      <c r="I86" s="40" t="e">
        <f>VLOOKUP(H86,TGQC!$H$1:$I$13,2)</f>
        <v>#N/A</v>
      </c>
      <c r="J86" s="40" t="e">
        <f>VLOOKUP(I86&amp;"-"&amp;FINAL!S86,TGQC!$S$1:$V$10,4,0)</f>
        <v>#N/A</v>
      </c>
    </row>
    <row r="87" spans="1:10" x14ac:dyDescent="0.25">
      <c r="A87" s="40">
        <v>74</v>
      </c>
      <c r="B87" s="40">
        <f>'DATA ENTRY'!B99</f>
        <v>0</v>
      </c>
      <c r="C87" s="55">
        <f>'DATA ENTRY'!C99</f>
        <v>0</v>
      </c>
      <c r="D87" s="56">
        <f>PRELIM!Q87</f>
        <v>0</v>
      </c>
      <c r="E87" s="56">
        <f>MIDTERM!Q87</f>
        <v>0</v>
      </c>
      <c r="F87" s="56">
        <f>FINAL!Q87</f>
        <v>0</v>
      </c>
      <c r="G87" s="57">
        <f t="shared" si="1"/>
        <v>0</v>
      </c>
      <c r="H87" s="40" t="e">
        <f>VLOOKUP(G87,TGQC!$X$1:$Y$990,2)</f>
        <v>#N/A</v>
      </c>
      <c r="I87" s="40" t="e">
        <f>VLOOKUP(H87,TGQC!$H$1:$I$13,2)</f>
        <v>#N/A</v>
      </c>
      <c r="J87" s="40" t="e">
        <f>VLOOKUP(I87&amp;"-"&amp;FINAL!S87,TGQC!$S$1:$V$10,4,0)</f>
        <v>#N/A</v>
      </c>
    </row>
    <row r="88" spans="1:10" x14ac:dyDescent="0.25">
      <c r="A88" s="40">
        <v>75</v>
      </c>
      <c r="B88" s="40">
        <f>'DATA ENTRY'!B100</f>
        <v>0</v>
      </c>
      <c r="C88" s="55">
        <f>'DATA ENTRY'!C100</f>
        <v>0</v>
      </c>
      <c r="D88" s="56">
        <f>PRELIM!Q88</f>
        <v>0</v>
      </c>
      <c r="E88" s="56">
        <f>MIDTERM!Q88</f>
        <v>0</v>
      </c>
      <c r="F88" s="56">
        <f>FINAL!Q88</f>
        <v>0</v>
      </c>
      <c r="G88" s="57">
        <f t="shared" si="1"/>
        <v>0</v>
      </c>
      <c r="H88" s="40" t="e">
        <f>VLOOKUP(G88,TGQC!$X$1:$Y$990,2)</f>
        <v>#N/A</v>
      </c>
      <c r="I88" s="40" t="e">
        <f>VLOOKUP(H88,TGQC!$H$1:$I$13,2)</f>
        <v>#N/A</v>
      </c>
      <c r="J88" s="40" t="e">
        <f>VLOOKUP(I88&amp;"-"&amp;FINAL!S88,TGQC!$S$1:$V$10,4,0)</f>
        <v>#N/A</v>
      </c>
    </row>
    <row r="89" spans="1:10" x14ac:dyDescent="0.25">
      <c r="A89" s="40">
        <v>76</v>
      </c>
      <c r="B89" s="40">
        <f>'DATA ENTRY'!B101</f>
        <v>0</v>
      </c>
      <c r="C89" s="55">
        <f>'DATA ENTRY'!C101</f>
        <v>0</v>
      </c>
      <c r="D89" s="56">
        <f>PRELIM!Q89</f>
        <v>0</v>
      </c>
      <c r="E89" s="56">
        <f>MIDTERM!Q89</f>
        <v>0</v>
      </c>
      <c r="F89" s="56">
        <f>FINAL!Q89</f>
        <v>0</v>
      </c>
      <c r="G89" s="57">
        <f t="shared" si="1"/>
        <v>0</v>
      </c>
      <c r="H89" s="40" t="e">
        <f>VLOOKUP(G89,TGQC!$X$1:$Y$990,2)</f>
        <v>#N/A</v>
      </c>
      <c r="I89" s="40" t="e">
        <f>VLOOKUP(H89,TGQC!$H$1:$I$13,2)</f>
        <v>#N/A</v>
      </c>
      <c r="J89" s="40" t="e">
        <f>VLOOKUP(I89&amp;"-"&amp;FINAL!S89,TGQC!$S$1:$V$10,4,0)</f>
        <v>#N/A</v>
      </c>
    </row>
    <row r="90" spans="1:10" x14ac:dyDescent="0.25">
      <c r="A90" s="40">
        <v>77</v>
      </c>
      <c r="B90" s="40">
        <f>'DATA ENTRY'!B102</f>
        <v>0</v>
      </c>
      <c r="C90" s="55">
        <f>'DATA ENTRY'!C102</f>
        <v>0</v>
      </c>
      <c r="D90" s="56">
        <f>PRELIM!Q90</f>
        <v>0</v>
      </c>
      <c r="E90" s="56">
        <f>MIDTERM!Q90</f>
        <v>0</v>
      </c>
      <c r="F90" s="56">
        <f>FINAL!Q90</f>
        <v>0</v>
      </c>
      <c r="G90" s="57">
        <f t="shared" si="1"/>
        <v>0</v>
      </c>
      <c r="H90" s="40" t="e">
        <f>VLOOKUP(G90,TGQC!$X$1:$Y$990,2)</f>
        <v>#N/A</v>
      </c>
      <c r="I90" s="40" t="e">
        <f>VLOOKUP(H90,TGQC!$H$1:$I$13,2)</f>
        <v>#N/A</v>
      </c>
      <c r="J90" s="40" t="e">
        <f>VLOOKUP(I90&amp;"-"&amp;FINAL!S90,TGQC!$S$1:$V$10,4,0)</f>
        <v>#N/A</v>
      </c>
    </row>
    <row r="91" spans="1:10" x14ac:dyDescent="0.25">
      <c r="A91" s="40">
        <v>78</v>
      </c>
      <c r="B91" s="40">
        <f>'DATA ENTRY'!B103</f>
        <v>0</v>
      </c>
      <c r="C91" s="55">
        <f>'DATA ENTRY'!C103</f>
        <v>0</v>
      </c>
      <c r="D91" s="56">
        <f>PRELIM!Q91</f>
        <v>0</v>
      </c>
      <c r="E91" s="56">
        <f>MIDTERM!Q91</f>
        <v>0</v>
      </c>
      <c r="F91" s="56">
        <f>FINAL!Q91</f>
        <v>0</v>
      </c>
      <c r="G91" s="57">
        <f t="shared" si="1"/>
        <v>0</v>
      </c>
      <c r="H91" s="40" t="e">
        <f>VLOOKUP(G91,TGQC!$X$1:$Y$990,2)</f>
        <v>#N/A</v>
      </c>
      <c r="I91" s="40" t="e">
        <f>VLOOKUP(H91,TGQC!$H$1:$I$13,2)</f>
        <v>#N/A</v>
      </c>
      <c r="J91" s="40" t="e">
        <f>VLOOKUP(I91&amp;"-"&amp;FINAL!S91,TGQC!$S$1:$V$10,4,0)</f>
        <v>#N/A</v>
      </c>
    </row>
    <row r="92" spans="1:10" x14ac:dyDescent="0.25">
      <c r="A92" s="40">
        <v>79</v>
      </c>
      <c r="B92" s="40">
        <f>'DATA ENTRY'!B104</f>
        <v>0</v>
      </c>
      <c r="C92" s="55">
        <f>'DATA ENTRY'!C104</f>
        <v>0</v>
      </c>
      <c r="D92" s="56">
        <f>PRELIM!Q92</f>
        <v>0</v>
      </c>
      <c r="E92" s="56">
        <f>MIDTERM!Q92</f>
        <v>0</v>
      </c>
      <c r="F92" s="56">
        <f>FINAL!Q92</f>
        <v>0</v>
      </c>
      <c r="G92" s="57">
        <f t="shared" si="1"/>
        <v>0</v>
      </c>
      <c r="H92" s="40" t="e">
        <f>VLOOKUP(G92,TGQC!$X$1:$Y$990,2)</f>
        <v>#N/A</v>
      </c>
      <c r="I92" s="40" t="e">
        <f>VLOOKUP(H92,TGQC!$H$1:$I$13,2)</f>
        <v>#N/A</v>
      </c>
      <c r="J92" s="40" t="e">
        <f>VLOOKUP(I92&amp;"-"&amp;FINAL!S92,TGQC!$S$1:$V$10,4,0)</f>
        <v>#N/A</v>
      </c>
    </row>
    <row r="93" spans="1:10" x14ac:dyDescent="0.25">
      <c r="A93" s="40">
        <v>80</v>
      </c>
      <c r="B93" s="40">
        <f>'DATA ENTRY'!B105</f>
        <v>0</v>
      </c>
      <c r="C93" s="55">
        <f>'DATA ENTRY'!C105</f>
        <v>0</v>
      </c>
      <c r="D93" s="56">
        <f>PRELIM!Q93</f>
        <v>0</v>
      </c>
      <c r="E93" s="56">
        <f>MIDTERM!Q93</f>
        <v>0</v>
      </c>
      <c r="F93" s="56">
        <f>FINAL!Q93</f>
        <v>0</v>
      </c>
      <c r="G93" s="57">
        <f t="shared" si="1"/>
        <v>0</v>
      </c>
      <c r="H93" s="40" t="e">
        <f>VLOOKUP(G93,TGQC!$X$1:$Y$990,2)</f>
        <v>#N/A</v>
      </c>
      <c r="I93" s="40" t="e">
        <f>VLOOKUP(H93,TGQC!$H$1:$I$13,2)</f>
        <v>#N/A</v>
      </c>
      <c r="J93" s="40" t="e">
        <f>VLOOKUP(I93&amp;"-"&amp;FINAL!S93,TGQC!$S$1:$V$10,4,0)</f>
        <v>#N/A</v>
      </c>
    </row>
    <row r="94" spans="1:10" x14ac:dyDescent="0.25">
      <c r="A94" s="40">
        <v>81</v>
      </c>
      <c r="B94" s="40">
        <f>'DATA ENTRY'!B106</f>
        <v>0</v>
      </c>
      <c r="C94" s="55">
        <f>'DATA ENTRY'!C106</f>
        <v>0</v>
      </c>
      <c r="D94" s="56">
        <f>PRELIM!Q94</f>
        <v>0</v>
      </c>
      <c r="E94" s="56">
        <f>MIDTERM!Q94</f>
        <v>0</v>
      </c>
      <c r="F94" s="56">
        <f>FINAL!Q94</f>
        <v>0</v>
      </c>
      <c r="G94" s="57">
        <f t="shared" si="1"/>
        <v>0</v>
      </c>
      <c r="H94" s="40" t="e">
        <f>VLOOKUP(G94,TGQC!$X$1:$Y$990,2)</f>
        <v>#N/A</v>
      </c>
      <c r="I94" s="40" t="e">
        <f>VLOOKUP(H94,TGQC!$H$1:$I$13,2)</f>
        <v>#N/A</v>
      </c>
      <c r="J94" s="40" t="e">
        <f>VLOOKUP(I94&amp;"-"&amp;FINAL!S94,TGQC!$S$1:$V$10,4,0)</f>
        <v>#N/A</v>
      </c>
    </row>
    <row r="95" spans="1:10" x14ac:dyDescent="0.25">
      <c r="A95" s="40">
        <v>82</v>
      </c>
      <c r="B95" s="40">
        <f>'DATA ENTRY'!B107</f>
        <v>0</v>
      </c>
      <c r="C95" s="55">
        <f>'DATA ENTRY'!C107</f>
        <v>0</v>
      </c>
      <c r="D95" s="56">
        <f>PRELIM!Q95</f>
        <v>0</v>
      </c>
      <c r="E95" s="56">
        <f>MIDTERM!Q95</f>
        <v>0</v>
      </c>
      <c r="F95" s="56">
        <f>FINAL!Q95</f>
        <v>0</v>
      </c>
      <c r="G95" s="57">
        <f t="shared" si="1"/>
        <v>0</v>
      </c>
      <c r="H95" s="40" t="e">
        <f>VLOOKUP(G95,TGQC!$X$1:$Y$990,2)</f>
        <v>#N/A</v>
      </c>
      <c r="I95" s="40" t="e">
        <f>VLOOKUP(H95,TGQC!$H$1:$I$13,2)</f>
        <v>#N/A</v>
      </c>
      <c r="J95" s="40" t="e">
        <f>VLOOKUP(I95&amp;"-"&amp;FINAL!S95,TGQC!$S$1:$V$10,4,0)</f>
        <v>#N/A</v>
      </c>
    </row>
    <row r="96" spans="1:10" x14ac:dyDescent="0.25">
      <c r="A96" s="40">
        <v>83</v>
      </c>
      <c r="B96" s="40">
        <f>'DATA ENTRY'!B108</f>
        <v>0</v>
      </c>
      <c r="C96" s="55">
        <f>'DATA ENTRY'!C108</f>
        <v>0</v>
      </c>
      <c r="D96" s="56">
        <f>PRELIM!Q96</f>
        <v>0</v>
      </c>
      <c r="E96" s="56">
        <f>MIDTERM!Q96</f>
        <v>0</v>
      </c>
      <c r="F96" s="56">
        <f>FINAL!Q96</f>
        <v>0</v>
      </c>
      <c r="G96" s="57">
        <f t="shared" si="1"/>
        <v>0</v>
      </c>
      <c r="H96" s="40" t="e">
        <f>VLOOKUP(G96,TGQC!$X$1:$Y$990,2)</f>
        <v>#N/A</v>
      </c>
      <c r="I96" s="40" t="e">
        <f>VLOOKUP(H96,TGQC!$H$1:$I$13,2)</f>
        <v>#N/A</v>
      </c>
      <c r="J96" s="40" t="e">
        <f>VLOOKUP(I96&amp;"-"&amp;FINAL!S96,TGQC!$S$1:$V$10,4,0)</f>
        <v>#N/A</v>
      </c>
    </row>
    <row r="97" spans="1:10" x14ac:dyDescent="0.25">
      <c r="A97" s="40">
        <v>84</v>
      </c>
      <c r="B97" s="40">
        <f>'DATA ENTRY'!B109</f>
        <v>0</v>
      </c>
      <c r="C97" s="55">
        <f>'DATA ENTRY'!C109</f>
        <v>0</v>
      </c>
      <c r="D97" s="56">
        <f>PRELIM!Q97</f>
        <v>0</v>
      </c>
      <c r="E97" s="56">
        <f>MIDTERM!Q97</f>
        <v>0</v>
      </c>
      <c r="F97" s="56">
        <f>FINAL!Q97</f>
        <v>0</v>
      </c>
      <c r="G97" s="57">
        <f t="shared" si="1"/>
        <v>0</v>
      </c>
      <c r="H97" s="40" t="e">
        <f>VLOOKUP(G97,TGQC!$X$1:$Y$990,2)</f>
        <v>#N/A</v>
      </c>
      <c r="I97" s="40" t="e">
        <f>VLOOKUP(H97,TGQC!$H$1:$I$13,2)</f>
        <v>#N/A</v>
      </c>
      <c r="J97" s="40" t="e">
        <f>VLOOKUP(I97&amp;"-"&amp;FINAL!S97,TGQC!$S$1:$V$10,4,0)</f>
        <v>#N/A</v>
      </c>
    </row>
    <row r="98" spans="1:10" x14ac:dyDescent="0.25">
      <c r="A98" s="40">
        <v>85</v>
      </c>
      <c r="B98" s="40">
        <f>'DATA ENTRY'!B110</f>
        <v>0</v>
      </c>
      <c r="C98" s="55">
        <f>'DATA ENTRY'!C110</f>
        <v>0</v>
      </c>
      <c r="D98" s="56">
        <f>PRELIM!Q98</f>
        <v>0</v>
      </c>
      <c r="E98" s="56">
        <f>MIDTERM!Q98</f>
        <v>0</v>
      </c>
      <c r="F98" s="56">
        <f>FINAL!Q98</f>
        <v>0</v>
      </c>
      <c r="G98" s="57">
        <f t="shared" si="1"/>
        <v>0</v>
      </c>
      <c r="H98" s="40" t="e">
        <f>VLOOKUP(G98,TGQC!$X$1:$Y$990,2)</f>
        <v>#N/A</v>
      </c>
      <c r="I98" s="40" t="e">
        <f>VLOOKUP(H98,TGQC!$H$1:$I$13,2)</f>
        <v>#N/A</v>
      </c>
      <c r="J98" s="40" t="e">
        <f>VLOOKUP(I98&amp;"-"&amp;FINAL!S98,TGQC!$S$1:$V$10,4,0)</f>
        <v>#N/A</v>
      </c>
    </row>
    <row r="99" spans="1:10" x14ac:dyDescent="0.25">
      <c r="A99" s="40">
        <v>86</v>
      </c>
      <c r="B99" s="40">
        <f>'DATA ENTRY'!B111</f>
        <v>0</v>
      </c>
      <c r="C99" s="55">
        <f>'DATA ENTRY'!C111</f>
        <v>0</v>
      </c>
      <c r="D99" s="56">
        <f>PRELIM!Q99</f>
        <v>0</v>
      </c>
      <c r="E99" s="56">
        <f>MIDTERM!Q99</f>
        <v>0</v>
      </c>
      <c r="F99" s="56">
        <f>FINAL!Q99</f>
        <v>0</v>
      </c>
      <c r="G99" s="57">
        <f t="shared" si="1"/>
        <v>0</v>
      </c>
      <c r="H99" s="40" t="e">
        <f>VLOOKUP(G99,TGQC!$X$1:$Y$990,2)</f>
        <v>#N/A</v>
      </c>
      <c r="I99" s="40" t="e">
        <f>VLOOKUP(H99,TGQC!$H$1:$I$13,2)</f>
        <v>#N/A</v>
      </c>
      <c r="J99" s="40" t="e">
        <f>VLOOKUP(I99&amp;"-"&amp;FINAL!S99,TGQC!$S$1:$V$10,4,0)</f>
        <v>#N/A</v>
      </c>
    </row>
    <row r="100" spans="1:10" x14ac:dyDescent="0.25">
      <c r="A100" s="40">
        <v>87</v>
      </c>
      <c r="B100" s="40">
        <f>'DATA ENTRY'!B112</f>
        <v>0</v>
      </c>
      <c r="C100" s="55">
        <f>'DATA ENTRY'!C112</f>
        <v>0</v>
      </c>
      <c r="D100" s="56">
        <f>PRELIM!Q100</f>
        <v>0</v>
      </c>
      <c r="E100" s="56">
        <f>MIDTERM!Q100</f>
        <v>0</v>
      </c>
      <c r="F100" s="56">
        <f>FINAL!Q100</f>
        <v>0</v>
      </c>
      <c r="G100" s="57">
        <f t="shared" si="1"/>
        <v>0</v>
      </c>
      <c r="H100" s="40" t="e">
        <f>VLOOKUP(G100,TGQC!$X$1:$Y$990,2)</f>
        <v>#N/A</v>
      </c>
      <c r="I100" s="40" t="e">
        <f>VLOOKUP(H100,TGQC!$H$1:$I$13,2)</f>
        <v>#N/A</v>
      </c>
      <c r="J100" s="40" t="e">
        <f>VLOOKUP(I100&amp;"-"&amp;FINAL!S100,TGQC!$S$1:$V$10,4,0)</f>
        <v>#N/A</v>
      </c>
    </row>
    <row r="101" spans="1:10" x14ac:dyDescent="0.25">
      <c r="A101" s="40">
        <v>88</v>
      </c>
      <c r="B101" s="40">
        <f>'DATA ENTRY'!B113</f>
        <v>0</v>
      </c>
      <c r="C101" s="55">
        <f>'DATA ENTRY'!C113</f>
        <v>0</v>
      </c>
      <c r="D101" s="56">
        <f>PRELIM!Q101</f>
        <v>0</v>
      </c>
      <c r="E101" s="56">
        <f>MIDTERM!Q101</f>
        <v>0</v>
      </c>
      <c r="F101" s="56">
        <f>FINAL!Q101</f>
        <v>0</v>
      </c>
      <c r="G101" s="57">
        <f t="shared" si="1"/>
        <v>0</v>
      </c>
      <c r="H101" s="40" t="e">
        <f>VLOOKUP(G101,TGQC!$X$1:$Y$990,2)</f>
        <v>#N/A</v>
      </c>
      <c r="I101" s="40" t="e">
        <f>VLOOKUP(H101,TGQC!$H$1:$I$13,2)</f>
        <v>#N/A</v>
      </c>
      <c r="J101" s="40" t="e">
        <f>VLOOKUP(I101&amp;"-"&amp;FINAL!S101,TGQC!$S$1:$V$10,4,0)</f>
        <v>#N/A</v>
      </c>
    </row>
    <row r="102" spans="1:10" x14ac:dyDescent="0.25">
      <c r="A102" s="40">
        <v>89</v>
      </c>
      <c r="B102" s="40">
        <f>'DATA ENTRY'!B114</f>
        <v>0</v>
      </c>
      <c r="C102" s="55">
        <f>'DATA ENTRY'!C114</f>
        <v>0</v>
      </c>
      <c r="D102" s="56">
        <f>PRELIM!Q102</f>
        <v>0</v>
      </c>
      <c r="E102" s="56">
        <f>MIDTERM!Q102</f>
        <v>0</v>
      </c>
      <c r="F102" s="56">
        <f>FINAL!Q102</f>
        <v>0</v>
      </c>
      <c r="G102" s="57">
        <f t="shared" si="1"/>
        <v>0</v>
      </c>
      <c r="H102" s="40" t="e">
        <f>VLOOKUP(G102,TGQC!$X$1:$Y$990,2)</f>
        <v>#N/A</v>
      </c>
      <c r="I102" s="40" t="e">
        <f>VLOOKUP(H102,TGQC!$H$1:$I$13,2)</f>
        <v>#N/A</v>
      </c>
      <c r="J102" s="40" t="e">
        <f>VLOOKUP(I102&amp;"-"&amp;FINAL!S102,TGQC!$S$1:$V$10,4,0)</f>
        <v>#N/A</v>
      </c>
    </row>
    <row r="103" spans="1:10" x14ac:dyDescent="0.25">
      <c r="A103" s="40">
        <v>90</v>
      </c>
      <c r="B103" s="40">
        <f>'DATA ENTRY'!B115</f>
        <v>0</v>
      </c>
      <c r="C103" s="55">
        <f>'DATA ENTRY'!C115</f>
        <v>0</v>
      </c>
      <c r="D103" s="56">
        <f>PRELIM!Q103</f>
        <v>0</v>
      </c>
      <c r="E103" s="56">
        <f>MIDTERM!Q103</f>
        <v>0</v>
      </c>
      <c r="F103" s="56">
        <f>FINAL!Q103</f>
        <v>0</v>
      </c>
      <c r="G103" s="57">
        <f t="shared" si="1"/>
        <v>0</v>
      </c>
      <c r="H103" s="40" t="e">
        <f>VLOOKUP(G103,TGQC!$X$1:$Y$990,2)</f>
        <v>#N/A</v>
      </c>
      <c r="I103" s="40" t="e">
        <f>VLOOKUP(H103,TGQC!$H$1:$I$13,2)</f>
        <v>#N/A</v>
      </c>
      <c r="J103" s="40" t="e">
        <f>VLOOKUP(I103&amp;"-"&amp;FINAL!S103,TGQC!$S$1:$V$10,4,0)</f>
        <v>#N/A</v>
      </c>
    </row>
    <row r="104" spans="1:10" x14ac:dyDescent="0.25">
      <c r="A104" s="40">
        <v>91</v>
      </c>
      <c r="B104" s="40">
        <f>'DATA ENTRY'!B116</f>
        <v>0</v>
      </c>
      <c r="C104" s="55">
        <f>'DATA ENTRY'!C116</f>
        <v>0</v>
      </c>
      <c r="D104" s="56">
        <f>PRELIM!Q104</f>
        <v>0</v>
      </c>
      <c r="E104" s="56">
        <f>MIDTERM!Q104</f>
        <v>0</v>
      </c>
      <c r="F104" s="56">
        <f>FINAL!Q104</f>
        <v>0</v>
      </c>
      <c r="G104" s="57">
        <f t="shared" si="1"/>
        <v>0</v>
      </c>
      <c r="H104" s="40" t="e">
        <f>VLOOKUP(G104,TGQC!$X$1:$Y$990,2)</f>
        <v>#N/A</v>
      </c>
      <c r="I104" s="40" t="e">
        <f>VLOOKUP(H104,TGQC!$H$1:$I$13,2)</f>
        <v>#N/A</v>
      </c>
      <c r="J104" s="40" t="e">
        <f>VLOOKUP(I104&amp;"-"&amp;FINAL!S104,TGQC!$S$1:$V$10,4,0)</f>
        <v>#N/A</v>
      </c>
    </row>
    <row r="105" spans="1:10" x14ac:dyDescent="0.25">
      <c r="A105" s="40">
        <v>92</v>
      </c>
      <c r="B105" s="40">
        <f>'DATA ENTRY'!B117</f>
        <v>0</v>
      </c>
      <c r="C105" s="55">
        <f>'DATA ENTRY'!C117</f>
        <v>0</v>
      </c>
      <c r="D105" s="56">
        <f>PRELIM!Q105</f>
        <v>0</v>
      </c>
      <c r="E105" s="56">
        <f>MIDTERM!Q105</f>
        <v>0</v>
      </c>
      <c r="F105" s="56">
        <f>FINAL!Q105</f>
        <v>0</v>
      </c>
      <c r="G105" s="57">
        <f t="shared" si="1"/>
        <v>0</v>
      </c>
      <c r="H105" s="40" t="e">
        <f>VLOOKUP(G105,TGQC!$X$1:$Y$990,2)</f>
        <v>#N/A</v>
      </c>
      <c r="I105" s="40" t="e">
        <f>VLOOKUP(H105,TGQC!$H$1:$I$13,2)</f>
        <v>#N/A</v>
      </c>
      <c r="J105" s="40" t="e">
        <f>VLOOKUP(I105&amp;"-"&amp;FINAL!S105,TGQC!$S$1:$V$10,4,0)</f>
        <v>#N/A</v>
      </c>
    </row>
    <row r="106" spans="1:10" x14ac:dyDescent="0.25">
      <c r="A106" s="40">
        <v>93</v>
      </c>
      <c r="B106" s="40">
        <f>'DATA ENTRY'!B118</f>
        <v>0</v>
      </c>
      <c r="C106" s="55">
        <f>'DATA ENTRY'!C118</f>
        <v>0</v>
      </c>
      <c r="D106" s="56">
        <f>PRELIM!Q106</f>
        <v>0</v>
      </c>
      <c r="E106" s="56">
        <f>MIDTERM!Q106</f>
        <v>0</v>
      </c>
      <c r="F106" s="56">
        <f>FINAL!Q106</f>
        <v>0</v>
      </c>
      <c r="G106" s="57">
        <f t="shared" si="1"/>
        <v>0</v>
      </c>
      <c r="H106" s="40" t="e">
        <f>VLOOKUP(G106,TGQC!$X$1:$Y$990,2)</f>
        <v>#N/A</v>
      </c>
      <c r="I106" s="40" t="e">
        <f>VLOOKUP(H106,TGQC!$H$1:$I$13,2)</f>
        <v>#N/A</v>
      </c>
      <c r="J106" s="40" t="e">
        <f>VLOOKUP(I106&amp;"-"&amp;FINAL!S106,TGQC!$S$1:$V$10,4,0)</f>
        <v>#N/A</v>
      </c>
    </row>
    <row r="107" spans="1:10" x14ac:dyDescent="0.25">
      <c r="A107" s="40">
        <v>94</v>
      </c>
      <c r="B107" s="40">
        <f>'DATA ENTRY'!B119</f>
        <v>0</v>
      </c>
      <c r="C107" s="55">
        <f>'DATA ENTRY'!C119</f>
        <v>0</v>
      </c>
      <c r="D107" s="56">
        <f>PRELIM!Q107</f>
        <v>0</v>
      </c>
      <c r="E107" s="56">
        <f>MIDTERM!Q107</f>
        <v>0</v>
      </c>
      <c r="F107" s="56">
        <f>FINAL!Q107</f>
        <v>0</v>
      </c>
      <c r="G107" s="57">
        <f t="shared" si="1"/>
        <v>0</v>
      </c>
      <c r="H107" s="40" t="e">
        <f>VLOOKUP(G107,TGQC!$X$1:$Y$990,2)</f>
        <v>#N/A</v>
      </c>
      <c r="I107" s="40" t="e">
        <f>VLOOKUP(H107,TGQC!$H$1:$I$13,2)</f>
        <v>#N/A</v>
      </c>
      <c r="J107" s="40" t="e">
        <f>VLOOKUP(I107&amp;"-"&amp;FINAL!S107,TGQC!$S$1:$V$10,4,0)</f>
        <v>#N/A</v>
      </c>
    </row>
    <row r="108" spans="1:10" x14ac:dyDescent="0.25">
      <c r="A108" s="40">
        <v>95</v>
      </c>
      <c r="B108" s="40">
        <f>'DATA ENTRY'!B120</f>
        <v>0</v>
      </c>
      <c r="C108" s="55">
        <f>'DATA ENTRY'!C120</f>
        <v>0</v>
      </c>
      <c r="D108" s="56">
        <f>PRELIM!Q108</f>
        <v>0</v>
      </c>
      <c r="E108" s="56">
        <f>MIDTERM!Q108</f>
        <v>0</v>
      </c>
      <c r="F108" s="56">
        <f>FINAL!Q108</f>
        <v>0</v>
      </c>
      <c r="G108" s="57">
        <f t="shared" si="1"/>
        <v>0</v>
      </c>
      <c r="H108" s="40" t="e">
        <f>VLOOKUP(G108,TGQC!$X$1:$Y$990,2)</f>
        <v>#N/A</v>
      </c>
      <c r="I108" s="40" t="e">
        <f>VLOOKUP(H108,TGQC!$H$1:$I$13,2)</f>
        <v>#N/A</v>
      </c>
      <c r="J108" s="40" t="e">
        <f>VLOOKUP(I108&amp;"-"&amp;FINAL!S108,TGQC!$S$1:$V$10,4,0)</f>
        <v>#N/A</v>
      </c>
    </row>
    <row r="109" spans="1:10" x14ac:dyDescent="0.25">
      <c r="A109" s="40">
        <v>96</v>
      </c>
      <c r="B109" s="40">
        <f>'DATA ENTRY'!B121</f>
        <v>0</v>
      </c>
      <c r="C109" s="55">
        <f>'DATA ENTRY'!C121</f>
        <v>0</v>
      </c>
      <c r="D109" s="56">
        <f>PRELIM!Q109</f>
        <v>0</v>
      </c>
      <c r="E109" s="56">
        <f>MIDTERM!Q109</f>
        <v>0</v>
      </c>
      <c r="F109" s="56">
        <f>FINAL!Q109</f>
        <v>0</v>
      </c>
      <c r="G109" s="57">
        <f t="shared" si="1"/>
        <v>0</v>
      </c>
      <c r="H109" s="40" t="e">
        <f>VLOOKUP(G109,TGQC!$X$1:$Y$990,2)</f>
        <v>#N/A</v>
      </c>
      <c r="I109" s="40" t="e">
        <f>VLOOKUP(H109,TGQC!$H$1:$I$13,2)</f>
        <v>#N/A</v>
      </c>
      <c r="J109" s="40" t="e">
        <f>VLOOKUP(I109&amp;"-"&amp;FINAL!S109,TGQC!$S$1:$V$10,4,0)</f>
        <v>#N/A</v>
      </c>
    </row>
    <row r="110" spans="1:10" x14ac:dyDescent="0.25">
      <c r="A110" s="40">
        <v>97</v>
      </c>
      <c r="B110" s="40">
        <f>'DATA ENTRY'!B122</f>
        <v>0</v>
      </c>
      <c r="C110" s="55">
        <f>'DATA ENTRY'!C122</f>
        <v>0</v>
      </c>
      <c r="D110" s="56">
        <f>PRELIM!Q110</f>
        <v>0</v>
      </c>
      <c r="E110" s="56">
        <f>MIDTERM!Q110</f>
        <v>0</v>
      </c>
      <c r="F110" s="56">
        <f>FINAL!Q110</f>
        <v>0</v>
      </c>
      <c r="G110" s="57">
        <f t="shared" si="1"/>
        <v>0</v>
      </c>
      <c r="H110" s="40" t="e">
        <f>VLOOKUP(G110,TGQC!$X$1:$Y$990,2)</f>
        <v>#N/A</v>
      </c>
      <c r="I110" s="40" t="e">
        <f>VLOOKUP(H110,TGQC!$H$1:$I$13,2)</f>
        <v>#N/A</v>
      </c>
      <c r="J110" s="40" t="e">
        <f>VLOOKUP(I110&amp;"-"&amp;FINAL!S110,TGQC!$S$1:$V$10,4,0)</f>
        <v>#N/A</v>
      </c>
    </row>
    <row r="111" spans="1:10" x14ac:dyDescent="0.25">
      <c r="A111" s="40">
        <v>98</v>
      </c>
      <c r="B111" s="40">
        <f>'DATA ENTRY'!B123</f>
        <v>0</v>
      </c>
      <c r="C111" s="55">
        <f>'DATA ENTRY'!C123</f>
        <v>0</v>
      </c>
      <c r="D111" s="56">
        <f>PRELIM!Q111</f>
        <v>0</v>
      </c>
      <c r="E111" s="56">
        <f>MIDTERM!Q111</f>
        <v>0</v>
      </c>
      <c r="F111" s="56">
        <f>FINAL!Q111</f>
        <v>0</v>
      </c>
      <c r="G111" s="57">
        <f t="shared" si="1"/>
        <v>0</v>
      </c>
      <c r="H111" s="40" t="e">
        <f>VLOOKUP(G111,TGQC!$X$1:$Y$990,2)</f>
        <v>#N/A</v>
      </c>
      <c r="I111" s="40" t="e">
        <f>VLOOKUP(H111,TGQC!$H$1:$I$13,2)</f>
        <v>#N/A</v>
      </c>
      <c r="J111" s="40" t="e">
        <f>VLOOKUP(I111&amp;"-"&amp;FINAL!S111,TGQC!$S$1:$V$10,4,0)</f>
        <v>#N/A</v>
      </c>
    </row>
    <row r="112" spans="1:10" x14ac:dyDescent="0.25">
      <c r="A112" s="40">
        <v>99</v>
      </c>
      <c r="B112" s="40">
        <f>'DATA ENTRY'!B124</f>
        <v>0</v>
      </c>
      <c r="C112" s="55">
        <f>'DATA ENTRY'!C124</f>
        <v>0</v>
      </c>
      <c r="D112" s="56">
        <f>PRELIM!Q112</f>
        <v>0</v>
      </c>
      <c r="E112" s="56">
        <f>MIDTERM!Q112</f>
        <v>0</v>
      </c>
      <c r="F112" s="56">
        <f>FINAL!Q112</f>
        <v>0</v>
      </c>
      <c r="G112" s="57">
        <f t="shared" si="1"/>
        <v>0</v>
      </c>
      <c r="H112" s="40" t="e">
        <f>VLOOKUP(G112,TGQC!$X$1:$Y$990,2)</f>
        <v>#N/A</v>
      </c>
      <c r="I112" s="40" t="e">
        <f>VLOOKUP(H112,TGQC!$H$1:$I$13,2)</f>
        <v>#N/A</v>
      </c>
      <c r="J112" s="40" t="e">
        <f>VLOOKUP(I112&amp;"-"&amp;FINAL!S112,TGQC!$S$1:$V$10,4,0)</f>
        <v>#N/A</v>
      </c>
    </row>
    <row r="113" spans="1:10" x14ac:dyDescent="0.25">
      <c r="A113" s="40">
        <v>100</v>
      </c>
      <c r="B113" s="40">
        <f>'DATA ENTRY'!B125</f>
        <v>0</v>
      </c>
      <c r="C113" s="55">
        <f>'DATA ENTRY'!C125</f>
        <v>0</v>
      </c>
      <c r="D113" s="56">
        <f>PRELIM!Q113</f>
        <v>0</v>
      </c>
      <c r="E113" s="56">
        <f>MIDTERM!Q113</f>
        <v>0</v>
      </c>
      <c r="F113" s="56">
        <f>FINAL!Q113</f>
        <v>0</v>
      </c>
      <c r="G113" s="57">
        <f t="shared" si="1"/>
        <v>0</v>
      </c>
      <c r="H113" s="40" t="e">
        <f>VLOOKUP(G113,TGQC!$X$1:$Y$990,2)</f>
        <v>#N/A</v>
      </c>
      <c r="I113" s="40" t="e">
        <f>VLOOKUP(H113,TGQC!$H$1:$I$13,2)</f>
        <v>#N/A</v>
      </c>
      <c r="J113" s="40" t="e">
        <f>VLOOKUP(I113&amp;"-"&amp;FINAL!S113,TGQC!$S$1:$V$10,4,0)</f>
        <v>#N/A</v>
      </c>
    </row>
  </sheetData>
  <sheetProtection algorithmName="SHA-512" hashValue="a0Mbgo4i+gr0oG3P/CLg9bQI+KcxEH76McpDfJkXS9QxPAUOyT2o5TstDivQMQktnFQtwx7TTGGcu8q/19RPBA==" saltValue="afY10uZ7bs2VbGsUJzxf6Q==" spinCount="100000" sheet="1" objects="1" scenarios="1"/>
  <mergeCells count="9">
    <mergeCell ref="G8:I8"/>
    <mergeCell ref="G9:I9"/>
    <mergeCell ref="G10:I10"/>
    <mergeCell ref="G7:I7"/>
    <mergeCell ref="A1:I1"/>
    <mergeCell ref="A2:I2"/>
    <mergeCell ref="A3:I3"/>
    <mergeCell ref="H4:I4"/>
    <mergeCell ref="G6:I6"/>
  </mergeCells>
  <conditionalFormatting sqref="H14:H113">
    <cfRule type="cellIs" dxfId="4" priority="5" operator="equal">
      <formula>5</formula>
    </cfRule>
  </conditionalFormatting>
  <conditionalFormatting sqref="J14:J113">
    <cfRule type="containsText" dxfId="3" priority="1" operator="containsText" text="Failed">
      <formula>NOT(ISERROR(SEARCH("Failed",J14)))</formula>
    </cfRule>
    <cfRule type="containsText" dxfId="2" priority="2" operator="containsText" text="Dropped">
      <formula>NOT(ISERROR(SEARCH("Dropped",J14)))</formula>
    </cfRule>
    <cfRule type="containsText" dxfId="1" priority="3" operator="containsText" text="Incomplete">
      <formula>NOT(ISERROR(SEARCH("Incomplete",J14)))</formula>
    </cfRule>
    <cfRule type="containsText" dxfId="0" priority="4" operator="containsText" text="In Progress">
      <formula>NOT(ISERROR(SEARCH("In Progress",J14)))</formula>
    </cfRule>
  </conditionalFormatting>
  <dataValidations count="1">
    <dataValidation operator="equal" allowBlank="1" showInputMessage="1" showErrorMessage="1" sqref="H14:H113" xr:uid="{00000000-0002-0000-0400-000000000000}"/>
  </dataValidations>
  <pageMargins left="0.7" right="0.7" top="0.75" bottom="0.75" header="0.3" footer="0.3"/>
  <pageSetup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990"/>
  <sheetViews>
    <sheetView topLeftCell="J1" workbookViewId="0">
      <selection activeCell="X3" sqref="X3"/>
    </sheetView>
  </sheetViews>
  <sheetFormatPr defaultColWidth="8.77734375" defaultRowHeight="14.4" x14ac:dyDescent="0.3"/>
  <cols>
    <col min="9" max="9" width="12.33203125" customWidth="1"/>
    <col min="14" max="14" width="14" customWidth="1"/>
    <col min="17" max="17" width="20.44140625" customWidth="1"/>
    <col min="19" max="19" width="18.33203125" customWidth="1"/>
    <col min="21" max="21" width="13.21875" customWidth="1"/>
    <col min="22" max="22" width="12.44140625" customWidth="1"/>
    <col min="25" max="25" width="9.21875" style="61"/>
  </cols>
  <sheetData>
    <row r="1" spans="1:25" x14ac:dyDescent="0.3">
      <c r="A1">
        <v>1</v>
      </c>
      <c r="B1">
        <v>5</v>
      </c>
      <c r="C1" t="s">
        <v>100</v>
      </c>
      <c r="E1" t="s">
        <v>18</v>
      </c>
      <c r="F1" t="s">
        <v>49</v>
      </c>
      <c r="H1">
        <v>1</v>
      </c>
      <c r="I1" t="s">
        <v>101</v>
      </c>
      <c r="K1" s="27" t="s">
        <v>18</v>
      </c>
      <c r="L1" t="s">
        <v>49</v>
      </c>
      <c r="N1" t="str">
        <f>O1&amp;"-"&amp;P1</f>
        <v>1-</v>
      </c>
      <c r="O1">
        <v>1</v>
      </c>
      <c r="Q1" t="s">
        <v>101</v>
      </c>
      <c r="S1" t="str">
        <f>T1&amp;"-"&amp;U1</f>
        <v>Passed-Failed</v>
      </c>
      <c r="T1" t="s">
        <v>101</v>
      </c>
      <c r="U1" t="s">
        <v>100</v>
      </c>
      <c r="V1" t="s">
        <v>101</v>
      </c>
      <c r="X1">
        <v>1.1000000000000001</v>
      </c>
      <c r="Y1" s="61">
        <v>5</v>
      </c>
    </row>
    <row r="2" spans="1:25" x14ac:dyDescent="0.3">
      <c r="A2">
        <v>2</v>
      </c>
      <c r="B2">
        <v>5</v>
      </c>
      <c r="C2" t="s">
        <v>100</v>
      </c>
      <c r="E2" t="s">
        <v>19</v>
      </c>
      <c r="F2" t="s">
        <v>102</v>
      </c>
      <c r="H2">
        <v>1.25</v>
      </c>
      <c r="I2" t="s">
        <v>101</v>
      </c>
      <c r="K2" s="27" t="s">
        <v>19</v>
      </c>
      <c r="L2" t="s">
        <v>102</v>
      </c>
      <c r="N2" t="str">
        <f t="shared" ref="N2:N56" si="0">O2&amp;"-"&amp;P2</f>
        <v>1.25-</v>
      </c>
      <c r="O2">
        <v>1.25</v>
      </c>
      <c r="Q2" t="s">
        <v>101</v>
      </c>
      <c r="S2" t="str">
        <f t="shared" ref="S2:S10" si="1">T2&amp;"-"&amp;U2</f>
        <v>Failed-Failed</v>
      </c>
      <c r="T2" t="s">
        <v>100</v>
      </c>
      <c r="U2" t="s">
        <v>100</v>
      </c>
      <c r="V2" t="s">
        <v>100</v>
      </c>
      <c r="X2">
        <v>1.2</v>
      </c>
      <c r="Y2" s="61">
        <v>5</v>
      </c>
    </row>
    <row r="3" spans="1:25" x14ac:dyDescent="0.3">
      <c r="A3">
        <v>3</v>
      </c>
      <c r="B3">
        <v>5</v>
      </c>
      <c r="C3" t="s">
        <v>100</v>
      </c>
      <c r="E3" t="s">
        <v>83</v>
      </c>
      <c r="F3" t="s">
        <v>84</v>
      </c>
      <c r="H3">
        <v>1.5</v>
      </c>
      <c r="I3" t="s">
        <v>101</v>
      </c>
      <c r="K3" s="27" t="s">
        <v>83</v>
      </c>
      <c r="L3" t="s">
        <v>84</v>
      </c>
      <c r="N3" t="str">
        <f t="shared" si="0"/>
        <v>1.5-</v>
      </c>
      <c r="O3">
        <v>1.5</v>
      </c>
      <c r="Q3" t="s">
        <v>101</v>
      </c>
      <c r="S3" t="str">
        <f t="shared" si="1"/>
        <v>Passed-Passed</v>
      </c>
      <c r="T3" t="s">
        <v>101</v>
      </c>
      <c r="U3" t="s">
        <v>101</v>
      </c>
      <c r="V3" t="s">
        <v>101</v>
      </c>
      <c r="X3">
        <v>1.3</v>
      </c>
      <c r="Y3" s="61">
        <v>5</v>
      </c>
    </row>
    <row r="4" spans="1:25" x14ac:dyDescent="0.3">
      <c r="A4">
        <v>4</v>
      </c>
      <c r="B4">
        <v>5</v>
      </c>
      <c r="C4" t="s">
        <v>100</v>
      </c>
      <c r="H4">
        <v>1.75</v>
      </c>
      <c r="I4" t="s">
        <v>101</v>
      </c>
      <c r="N4" t="str">
        <f>O4&amp;"-"&amp;P4</f>
        <v>1.75-</v>
      </c>
      <c r="O4">
        <v>1.75</v>
      </c>
      <c r="Q4" t="s">
        <v>101</v>
      </c>
      <c r="S4" t="str">
        <f t="shared" si="1"/>
        <v>Failed-Passed</v>
      </c>
      <c r="T4" t="s">
        <v>100</v>
      </c>
      <c r="U4" t="s">
        <v>101</v>
      </c>
      <c r="V4" t="s">
        <v>100</v>
      </c>
      <c r="X4">
        <v>1.4</v>
      </c>
      <c r="Y4" s="61">
        <v>5</v>
      </c>
    </row>
    <row r="5" spans="1:25" x14ac:dyDescent="0.3">
      <c r="A5">
        <v>5</v>
      </c>
      <c r="B5">
        <v>5</v>
      </c>
      <c r="C5" t="s">
        <v>100</v>
      </c>
      <c r="H5">
        <v>2</v>
      </c>
      <c r="I5" t="s">
        <v>101</v>
      </c>
      <c r="N5" t="str">
        <f t="shared" si="0"/>
        <v>2-</v>
      </c>
      <c r="O5">
        <v>2</v>
      </c>
      <c r="Q5" t="s">
        <v>101</v>
      </c>
      <c r="S5" t="str">
        <f t="shared" si="1"/>
        <v>Passed-Incomplete</v>
      </c>
      <c r="T5" t="s">
        <v>101</v>
      </c>
      <c r="U5" t="s">
        <v>49</v>
      </c>
      <c r="V5" t="s">
        <v>49</v>
      </c>
      <c r="X5">
        <v>1.5</v>
      </c>
      <c r="Y5" s="61">
        <v>5</v>
      </c>
    </row>
    <row r="6" spans="1:25" x14ac:dyDescent="0.3">
      <c r="A6">
        <v>6</v>
      </c>
      <c r="B6">
        <v>5</v>
      </c>
      <c r="C6" t="s">
        <v>100</v>
      </c>
      <c r="H6">
        <v>2.25</v>
      </c>
      <c r="I6" t="s">
        <v>101</v>
      </c>
      <c r="N6" t="str">
        <f t="shared" si="0"/>
        <v>2.25-</v>
      </c>
      <c r="O6">
        <v>2.25</v>
      </c>
      <c r="Q6" t="s">
        <v>101</v>
      </c>
      <c r="S6" t="str">
        <f t="shared" si="1"/>
        <v>Passed-In Progress</v>
      </c>
      <c r="T6" t="s">
        <v>101</v>
      </c>
      <c r="U6" t="s">
        <v>84</v>
      </c>
      <c r="V6" t="s">
        <v>84</v>
      </c>
      <c r="X6">
        <v>1.6</v>
      </c>
      <c r="Y6" s="61">
        <v>5</v>
      </c>
    </row>
    <row r="7" spans="1:25" x14ac:dyDescent="0.3">
      <c r="A7">
        <v>7</v>
      </c>
      <c r="B7">
        <v>5</v>
      </c>
      <c r="C7" t="s">
        <v>100</v>
      </c>
      <c r="H7">
        <v>2.5</v>
      </c>
      <c r="I7" t="s">
        <v>101</v>
      </c>
      <c r="N7" t="str">
        <f t="shared" si="0"/>
        <v>2.5-</v>
      </c>
      <c r="O7">
        <v>2.5</v>
      </c>
      <c r="Q7" t="s">
        <v>101</v>
      </c>
      <c r="S7" t="str">
        <f t="shared" si="1"/>
        <v>Passed-Dropped</v>
      </c>
      <c r="T7" t="s">
        <v>101</v>
      </c>
      <c r="U7" t="s">
        <v>102</v>
      </c>
      <c r="V7" t="s">
        <v>102</v>
      </c>
      <c r="X7">
        <v>1.7</v>
      </c>
      <c r="Y7" s="61">
        <v>5</v>
      </c>
    </row>
    <row r="8" spans="1:25" x14ac:dyDescent="0.3">
      <c r="A8">
        <v>8</v>
      </c>
      <c r="B8">
        <v>5</v>
      </c>
      <c r="C8" t="s">
        <v>100</v>
      </c>
      <c r="H8">
        <v>2.75</v>
      </c>
      <c r="I8" t="s">
        <v>101</v>
      </c>
      <c r="N8" t="str">
        <f t="shared" si="0"/>
        <v>2.75-</v>
      </c>
      <c r="O8">
        <v>2.75</v>
      </c>
      <c r="Q8" t="s">
        <v>101</v>
      </c>
      <c r="S8" t="str">
        <f t="shared" si="1"/>
        <v>Failed-Incomplete</v>
      </c>
      <c r="T8" t="s">
        <v>100</v>
      </c>
      <c r="U8" t="s">
        <v>49</v>
      </c>
      <c r="V8" t="s">
        <v>49</v>
      </c>
      <c r="X8">
        <v>1.8</v>
      </c>
      <c r="Y8" s="61">
        <v>5</v>
      </c>
    </row>
    <row r="9" spans="1:25" x14ac:dyDescent="0.3">
      <c r="A9">
        <v>9</v>
      </c>
      <c r="B9">
        <v>5</v>
      </c>
      <c r="C9" t="s">
        <v>100</v>
      </c>
      <c r="H9">
        <v>3</v>
      </c>
      <c r="I9" t="s">
        <v>101</v>
      </c>
      <c r="N9" t="str">
        <f>O9&amp;"-"&amp;P9</f>
        <v>3-</v>
      </c>
      <c r="O9">
        <v>3</v>
      </c>
      <c r="Q9" t="s">
        <v>101</v>
      </c>
      <c r="S9" t="str">
        <f t="shared" si="1"/>
        <v>Failed-In Progress</v>
      </c>
      <c r="T9" t="s">
        <v>100</v>
      </c>
      <c r="U9" t="s">
        <v>84</v>
      </c>
      <c r="V9" t="s">
        <v>84</v>
      </c>
      <c r="X9">
        <v>1.9</v>
      </c>
      <c r="Y9" s="61">
        <v>5</v>
      </c>
    </row>
    <row r="10" spans="1:25" x14ac:dyDescent="0.3">
      <c r="A10">
        <v>10</v>
      </c>
      <c r="B10">
        <v>5</v>
      </c>
      <c r="C10" t="s">
        <v>100</v>
      </c>
      <c r="H10">
        <v>3.25</v>
      </c>
      <c r="I10" t="s">
        <v>101</v>
      </c>
      <c r="N10" t="str">
        <f t="shared" si="0"/>
        <v>3.25-</v>
      </c>
      <c r="O10">
        <v>3.25</v>
      </c>
      <c r="Q10" t="s">
        <v>101</v>
      </c>
      <c r="S10" t="str">
        <f t="shared" si="1"/>
        <v>Failed-Dropped</v>
      </c>
      <c r="T10" t="s">
        <v>100</v>
      </c>
      <c r="U10" t="s">
        <v>102</v>
      </c>
      <c r="V10" t="s">
        <v>102</v>
      </c>
      <c r="X10">
        <v>2</v>
      </c>
      <c r="Y10" s="61">
        <v>5</v>
      </c>
    </row>
    <row r="11" spans="1:25" x14ac:dyDescent="0.3">
      <c r="A11">
        <v>11</v>
      </c>
      <c r="B11">
        <v>5</v>
      </c>
      <c r="C11" t="s">
        <v>100</v>
      </c>
      <c r="H11">
        <v>3.5</v>
      </c>
      <c r="I11" t="s">
        <v>101</v>
      </c>
      <c r="N11" t="str">
        <f t="shared" si="0"/>
        <v>3.5-</v>
      </c>
      <c r="O11">
        <v>3.5</v>
      </c>
      <c r="Q11" t="s">
        <v>101</v>
      </c>
      <c r="X11">
        <v>2.1</v>
      </c>
      <c r="Y11" s="61">
        <v>5</v>
      </c>
    </row>
    <row r="12" spans="1:25" x14ac:dyDescent="0.3">
      <c r="A12">
        <v>12</v>
      </c>
      <c r="B12">
        <v>5</v>
      </c>
      <c r="C12" t="s">
        <v>100</v>
      </c>
      <c r="H12">
        <v>3.75</v>
      </c>
      <c r="I12" t="s">
        <v>101</v>
      </c>
      <c r="N12" t="str">
        <f>O12&amp;"-"&amp;P12</f>
        <v>3.75-</v>
      </c>
      <c r="O12">
        <v>3.75</v>
      </c>
      <c r="Q12" t="s">
        <v>101</v>
      </c>
      <c r="X12">
        <v>2.2000000000000002</v>
      </c>
      <c r="Y12" s="61">
        <v>5</v>
      </c>
    </row>
    <row r="13" spans="1:25" x14ac:dyDescent="0.3">
      <c r="A13">
        <v>13</v>
      </c>
      <c r="B13">
        <v>5</v>
      </c>
      <c r="C13" t="s">
        <v>100</v>
      </c>
      <c r="H13">
        <v>5</v>
      </c>
      <c r="I13" t="s">
        <v>100</v>
      </c>
      <c r="N13" t="str">
        <f t="shared" si="0"/>
        <v>5-</v>
      </c>
      <c r="O13">
        <v>5</v>
      </c>
      <c r="Q13" t="s">
        <v>100</v>
      </c>
      <c r="X13">
        <v>2.2999999999999998</v>
      </c>
      <c r="Y13" s="61">
        <v>5</v>
      </c>
    </row>
    <row r="14" spans="1:25" x14ac:dyDescent="0.3">
      <c r="A14">
        <v>14</v>
      </c>
      <c r="B14">
        <v>5</v>
      </c>
      <c r="C14" t="s">
        <v>100</v>
      </c>
      <c r="N14" t="str">
        <f t="shared" si="0"/>
        <v>1-INC</v>
      </c>
      <c r="O14">
        <v>1</v>
      </c>
      <c r="P14" t="s">
        <v>18</v>
      </c>
      <c r="Q14" t="s">
        <v>49</v>
      </c>
      <c r="X14">
        <v>2.4</v>
      </c>
      <c r="Y14" s="61">
        <v>5</v>
      </c>
    </row>
    <row r="15" spans="1:25" x14ac:dyDescent="0.3">
      <c r="A15">
        <v>15</v>
      </c>
      <c r="B15">
        <v>5</v>
      </c>
      <c r="C15" t="s">
        <v>100</v>
      </c>
      <c r="N15" t="str">
        <f t="shared" si="0"/>
        <v>1.25-INC</v>
      </c>
      <c r="O15">
        <v>1.25</v>
      </c>
      <c r="P15" t="s">
        <v>18</v>
      </c>
      <c r="Q15" t="s">
        <v>49</v>
      </c>
      <c r="X15">
        <v>2.5</v>
      </c>
      <c r="Y15" s="61">
        <v>5</v>
      </c>
    </row>
    <row r="16" spans="1:25" x14ac:dyDescent="0.3">
      <c r="A16">
        <v>16</v>
      </c>
      <c r="B16">
        <v>5</v>
      </c>
      <c r="C16" t="s">
        <v>100</v>
      </c>
      <c r="N16" t="str">
        <f t="shared" si="0"/>
        <v>1.5-INC</v>
      </c>
      <c r="O16">
        <v>1.5</v>
      </c>
      <c r="P16" t="s">
        <v>18</v>
      </c>
      <c r="Q16" t="s">
        <v>49</v>
      </c>
      <c r="X16">
        <v>2.6</v>
      </c>
      <c r="Y16" s="61">
        <v>5</v>
      </c>
    </row>
    <row r="17" spans="1:25" x14ac:dyDescent="0.3">
      <c r="A17">
        <v>17</v>
      </c>
      <c r="B17">
        <v>5</v>
      </c>
      <c r="C17" t="s">
        <v>100</v>
      </c>
      <c r="N17" t="str">
        <f t="shared" si="0"/>
        <v>1.75-INC</v>
      </c>
      <c r="O17">
        <v>1.75</v>
      </c>
      <c r="P17" t="s">
        <v>18</v>
      </c>
      <c r="Q17" t="s">
        <v>49</v>
      </c>
      <c r="X17">
        <v>2.7</v>
      </c>
      <c r="Y17" s="61">
        <v>5</v>
      </c>
    </row>
    <row r="18" spans="1:25" x14ac:dyDescent="0.3">
      <c r="A18">
        <v>18</v>
      </c>
      <c r="B18">
        <v>5</v>
      </c>
      <c r="C18" t="s">
        <v>100</v>
      </c>
      <c r="N18" t="str">
        <f t="shared" si="0"/>
        <v>2-INC</v>
      </c>
      <c r="O18">
        <v>2</v>
      </c>
      <c r="P18" t="s">
        <v>18</v>
      </c>
      <c r="Q18" t="s">
        <v>49</v>
      </c>
      <c r="X18">
        <v>2.8</v>
      </c>
      <c r="Y18" s="61">
        <v>5</v>
      </c>
    </row>
    <row r="19" spans="1:25" x14ac:dyDescent="0.3">
      <c r="A19">
        <v>19</v>
      </c>
      <c r="B19">
        <v>5</v>
      </c>
      <c r="C19" t="s">
        <v>100</v>
      </c>
      <c r="N19" t="str">
        <f t="shared" si="0"/>
        <v>2.25-INC</v>
      </c>
      <c r="O19">
        <v>2.25</v>
      </c>
      <c r="P19" t="s">
        <v>18</v>
      </c>
      <c r="Q19" t="s">
        <v>49</v>
      </c>
      <c r="X19">
        <v>2.9</v>
      </c>
      <c r="Y19" s="61">
        <v>5</v>
      </c>
    </row>
    <row r="20" spans="1:25" x14ac:dyDescent="0.3">
      <c r="A20">
        <v>20</v>
      </c>
      <c r="B20">
        <v>5</v>
      </c>
      <c r="C20" t="s">
        <v>100</v>
      </c>
      <c r="N20" t="str">
        <f t="shared" si="0"/>
        <v>2.5-INC</v>
      </c>
      <c r="O20">
        <v>2.5</v>
      </c>
      <c r="P20" t="s">
        <v>18</v>
      </c>
      <c r="Q20" t="s">
        <v>49</v>
      </c>
      <c r="X20">
        <v>3</v>
      </c>
      <c r="Y20" s="61">
        <v>5</v>
      </c>
    </row>
    <row r="21" spans="1:25" x14ac:dyDescent="0.3">
      <c r="A21">
        <v>21</v>
      </c>
      <c r="B21">
        <v>5</v>
      </c>
      <c r="C21" t="s">
        <v>100</v>
      </c>
      <c r="N21" t="str">
        <f t="shared" si="0"/>
        <v>2.75-INC</v>
      </c>
      <c r="O21">
        <v>2.75</v>
      </c>
      <c r="P21" t="s">
        <v>18</v>
      </c>
      <c r="Q21" t="s">
        <v>49</v>
      </c>
      <c r="X21">
        <v>3.1</v>
      </c>
      <c r="Y21" s="61">
        <v>5</v>
      </c>
    </row>
    <row r="22" spans="1:25" x14ac:dyDescent="0.3">
      <c r="A22">
        <v>22</v>
      </c>
      <c r="B22">
        <v>5</v>
      </c>
      <c r="C22" t="s">
        <v>100</v>
      </c>
      <c r="N22" t="str">
        <f t="shared" si="0"/>
        <v>3-INC</v>
      </c>
      <c r="O22">
        <v>3</v>
      </c>
      <c r="P22" t="s">
        <v>18</v>
      </c>
      <c r="Q22" t="s">
        <v>49</v>
      </c>
      <c r="X22">
        <v>3.2</v>
      </c>
      <c r="Y22" s="61">
        <v>5</v>
      </c>
    </row>
    <row r="23" spans="1:25" x14ac:dyDescent="0.3">
      <c r="A23">
        <v>23</v>
      </c>
      <c r="B23">
        <v>5</v>
      </c>
      <c r="C23" t="s">
        <v>100</v>
      </c>
      <c r="N23" t="str">
        <f t="shared" si="0"/>
        <v>3.25-INC</v>
      </c>
      <c r="O23">
        <v>3.25</v>
      </c>
      <c r="P23" t="s">
        <v>18</v>
      </c>
      <c r="Q23" t="s">
        <v>49</v>
      </c>
      <c r="X23">
        <v>3.3</v>
      </c>
      <c r="Y23" s="61">
        <v>5</v>
      </c>
    </row>
    <row r="24" spans="1:25" x14ac:dyDescent="0.3">
      <c r="A24">
        <v>24</v>
      </c>
      <c r="B24">
        <v>5</v>
      </c>
      <c r="C24" t="s">
        <v>100</v>
      </c>
      <c r="N24" t="str">
        <f t="shared" si="0"/>
        <v>3.5-INC</v>
      </c>
      <c r="O24">
        <v>3.5</v>
      </c>
      <c r="P24" t="s">
        <v>18</v>
      </c>
      <c r="Q24" t="s">
        <v>49</v>
      </c>
      <c r="X24">
        <v>3.4</v>
      </c>
      <c r="Y24" s="61">
        <v>5</v>
      </c>
    </row>
    <row r="25" spans="1:25" x14ac:dyDescent="0.3">
      <c r="A25">
        <v>25</v>
      </c>
      <c r="B25">
        <v>5</v>
      </c>
      <c r="C25" t="s">
        <v>100</v>
      </c>
      <c r="N25" t="str">
        <f t="shared" si="0"/>
        <v>3.75-INC</v>
      </c>
      <c r="O25">
        <v>3.75</v>
      </c>
      <c r="P25" t="s">
        <v>18</v>
      </c>
      <c r="Q25" t="s">
        <v>49</v>
      </c>
      <c r="X25">
        <v>3.5</v>
      </c>
      <c r="Y25" s="61">
        <v>5</v>
      </c>
    </row>
    <row r="26" spans="1:25" x14ac:dyDescent="0.3">
      <c r="A26">
        <v>26</v>
      </c>
      <c r="B26">
        <v>5</v>
      </c>
      <c r="C26" t="s">
        <v>100</v>
      </c>
      <c r="N26" t="str">
        <f t="shared" si="0"/>
        <v>5-INC</v>
      </c>
      <c r="O26">
        <v>5</v>
      </c>
      <c r="P26" t="s">
        <v>18</v>
      </c>
      <c r="Q26" t="s">
        <v>49</v>
      </c>
      <c r="X26">
        <v>3.6</v>
      </c>
      <c r="Y26" s="61">
        <v>5</v>
      </c>
    </row>
    <row r="27" spans="1:25" x14ac:dyDescent="0.3">
      <c r="A27">
        <v>27</v>
      </c>
      <c r="B27">
        <v>5</v>
      </c>
      <c r="C27" t="s">
        <v>100</v>
      </c>
      <c r="N27" t="str">
        <f t="shared" si="0"/>
        <v>1-DRP</v>
      </c>
      <c r="O27">
        <v>1</v>
      </c>
      <c r="P27" t="s">
        <v>19</v>
      </c>
      <c r="Q27" t="s">
        <v>102</v>
      </c>
      <c r="X27">
        <v>3.7</v>
      </c>
      <c r="Y27" s="61">
        <v>5</v>
      </c>
    </row>
    <row r="28" spans="1:25" x14ac:dyDescent="0.3">
      <c r="A28">
        <v>28</v>
      </c>
      <c r="B28">
        <v>5</v>
      </c>
      <c r="C28" t="s">
        <v>100</v>
      </c>
      <c r="N28" t="str">
        <f t="shared" si="0"/>
        <v>1.25-DRP</v>
      </c>
      <c r="O28">
        <v>1.25</v>
      </c>
      <c r="P28" t="s">
        <v>19</v>
      </c>
      <c r="Q28" t="s">
        <v>102</v>
      </c>
      <c r="X28">
        <v>3.8</v>
      </c>
      <c r="Y28" s="61">
        <v>5</v>
      </c>
    </row>
    <row r="29" spans="1:25" x14ac:dyDescent="0.3">
      <c r="A29">
        <v>29</v>
      </c>
      <c r="B29">
        <v>5</v>
      </c>
      <c r="C29" t="s">
        <v>100</v>
      </c>
      <c r="N29" t="str">
        <f t="shared" si="0"/>
        <v>1.5-DRP</v>
      </c>
      <c r="O29">
        <v>1.5</v>
      </c>
      <c r="P29" t="s">
        <v>19</v>
      </c>
      <c r="Q29" t="s">
        <v>102</v>
      </c>
      <c r="X29">
        <v>3.9</v>
      </c>
      <c r="Y29" s="61">
        <v>5</v>
      </c>
    </row>
    <row r="30" spans="1:25" x14ac:dyDescent="0.3">
      <c r="A30">
        <v>30</v>
      </c>
      <c r="B30">
        <v>5</v>
      </c>
      <c r="C30" t="s">
        <v>100</v>
      </c>
      <c r="N30" t="str">
        <f t="shared" si="0"/>
        <v>1.75-DRP</v>
      </c>
      <c r="O30">
        <v>1.75</v>
      </c>
      <c r="P30" t="s">
        <v>19</v>
      </c>
      <c r="Q30" t="s">
        <v>102</v>
      </c>
      <c r="X30">
        <v>4</v>
      </c>
      <c r="Y30" s="61">
        <v>5</v>
      </c>
    </row>
    <row r="31" spans="1:25" x14ac:dyDescent="0.3">
      <c r="A31">
        <v>31</v>
      </c>
      <c r="B31">
        <v>5</v>
      </c>
      <c r="C31" t="s">
        <v>100</v>
      </c>
      <c r="N31" t="str">
        <f t="shared" si="0"/>
        <v>2-DRP</v>
      </c>
      <c r="O31">
        <v>2</v>
      </c>
      <c r="P31" t="s">
        <v>19</v>
      </c>
      <c r="Q31" t="s">
        <v>102</v>
      </c>
      <c r="X31">
        <v>4.0999999999999996</v>
      </c>
      <c r="Y31" s="61">
        <v>5</v>
      </c>
    </row>
    <row r="32" spans="1:25" x14ac:dyDescent="0.3">
      <c r="A32">
        <v>32</v>
      </c>
      <c r="B32">
        <v>5</v>
      </c>
      <c r="C32" t="s">
        <v>100</v>
      </c>
      <c r="N32" t="str">
        <f t="shared" si="0"/>
        <v>2.25-DRP</v>
      </c>
      <c r="O32">
        <v>2.25</v>
      </c>
      <c r="P32" t="s">
        <v>19</v>
      </c>
      <c r="Q32" t="s">
        <v>102</v>
      </c>
      <c r="X32">
        <v>4.2</v>
      </c>
      <c r="Y32" s="61">
        <v>5</v>
      </c>
    </row>
    <row r="33" spans="1:25" x14ac:dyDescent="0.3">
      <c r="A33">
        <v>33</v>
      </c>
      <c r="B33">
        <v>5</v>
      </c>
      <c r="C33" t="s">
        <v>100</v>
      </c>
      <c r="N33" t="str">
        <f t="shared" si="0"/>
        <v>2.5-DRP</v>
      </c>
      <c r="O33">
        <v>2.5</v>
      </c>
      <c r="P33" t="s">
        <v>19</v>
      </c>
      <c r="Q33" t="s">
        <v>102</v>
      </c>
      <c r="X33">
        <v>4.3</v>
      </c>
      <c r="Y33" s="61">
        <v>5</v>
      </c>
    </row>
    <row r="34" spans="1:25" x14ac:dyDescent="0.3">
      <c r="A34">
        <v>34</v>
      </c>
      <c r="B34">
        <v>5</v>
      </c>
      <c r="C34" t="s">
        <v>100</v>
      </c>
      <c r="N34" t="str">
        <f t="shared" si="0"/>
        <v>2.75-DRP</v>
      </c>
      <c r="O34">
        <v>2.75</v>
      </c>
      <c r="P34" t="s">
        <v>19</v>
      </c>
      <c r="Q34" t="s">
        <v>102</v>
      </c>
      <c r="X34">
        <v>4.4000000000000004</v>
      </c>
      <c r="Y34" s="61">
        <v>5</v>
      </c>
    </row>
    <row r="35" spans="1:25" x14ac:dyDescent="0.3">
      <c r="A35">
        <v>35</v>
      </c>
      <c r="B35">
        <v>5</v>
      </c>
      <c r="C35" t="s">
        <v>100</v>
      </c>
      <c r="N35" t="str">
        <f t="shared" si="0"/>
        <v>3-DRP</v>
      </c>
      <c r="O35">
        <v>3</v>
      </c>
      <c r="P35" t="s">
        <v>19</v>
      </c>
      <c r="Q35" t="s">
        <v>102</v>
      </c>
      <c r="X35">
        <v>4.5</v>
      </c>
      <c r="Y35" s="61">
        <v>5</v>
      </c>
    </row>
    <row r="36" spans="1:25" x14ac:dyDescent="0.3">
      <c r="A36">
        <v>36</v>
      </c>
      <c r="B36">
        <v>5</v>
      </c>
      <c r="C36" t="s">
        <v>100</v>
      </c>
      <c r="N36" t="str">
        <f t="shared" si="0"/>
        <v>3.25-DRP</v>
      </c>
      <c r="O36">
        <v>3.25</v>
      </c>
      <c r="P36" t="s">
        <v>19</v>
      </c>
      <c r="Q36" t="s">
        <v>102</v>
      </c>
      <c r="X36">
        <v>4.5999999999999996</v>
      </c>
      <c r="Y36" s="61">
        <v>5</v>
      </c>
    </row>
    <row r="37" spans="1:25" x14ac:dyDescent="0.3">
      <c r="A37">
        <v>37</v>
      </c>
      <c r="B37">
        <v>5</v>
      </c>
      <c r="C37" t="s">
        <v>100</v>
      </c>
      <c r="N37" t="str">
        <f t="shared" si="0"/>
        <v>3.5-DRP</v>
      </c>
      <c r="O37">
        <v>3.5</v>
      </c>
      <c r="P37" t="s">
        <v>19</v>
      </c>
      <c r="Q37" t="s">
        <v>102</v>
      </c>
      <c r="X37">
        <v>4.7</v>
      </c>
      <c r="Y37" s="61">
        <v>5</v>
      </c>
    </row>
    <row r="38" spans="1:25" x14ac:dyDescent="0.3">
      <c r="A38">
        <v>38</v>
      </c>
      <c r="B38">
        <v>5</v>
      </c>
      <c r="C38" t="s">
        <v>100</v>
      </c>
      <c r="N38" t="str">
        <f t="shared" si="0"/>
        <v>3.75-DRP</v>
      </c>
      <c r="O38">
        <v>3.75</v>
      </c>
      <c r="P38" t="s">
        <v>19</v>
      </c>
      <c r="Q38" t="s">
        <v>102</v>
      </c>
      <c r="X38">
        <v>4.7999999999999901</v>
      </c>
      <c r="Y38" s="61">
        <v>5</v>
      </c>
    </row>
    <row r="39" spans="1:25" x14ac:dyDescent="0.3">
      <c r="A39">
        <v>39</v>
      </c>
      <c r="B39">
        <v>5</v>
      </c>
      <c r="C39" t="s">
        <v>100</v>
      </c>
      <c r="N39" t="str">
        <f t="shared" si="0"/>
        <v>5-DRP</v>
      </c>
      <c r="O39">
        <v>5</v>
      </c>
      <c r="P39" t="s">
        <v>19</v>
      </c>
      <c r="Q39" t="s">
        <v>102</v>
      </c>
      <c r="X39">
        <v>4.8999999999999897</v>
      </c>
      <c r="Y39" s="61">
        <v>5</v>
      </c>
    </row>
    <row r="40" spans="1:25" x14ac:dyDescent="0.3">
      <c r="A40">
        <v>40</v>
      </c>
      <c r="B40">
        <v>5</v>
      </c>
      <c r="C40" t="s">
        <v>100</v>
      </c>
      <c r="N40" t="str">
        <f t="shared" si="0"/>
        <v>1-IP</v>
      </c>
      <c r="O40">
        <v>1</v>
      </c>
      <c r="P40" t="s">
        <v>83</v>
      </c>
      <c r="Q40" t="s">
        <v>84</v>
      </c>
      <c r="X40">
        <v>5</v>
      </c>
      <c r="Y40" s="61">
        <v>5</v>
      </c>
    </row>
    <row r="41" spans="1:25" x14ac:dyDescent="0.3">
      <c r="A41">
        <v>41</v>
      </c>
      <c r="B41">
        <v>5</v>
      </c>
      <c r="C41" t="s">
        <v>100</v>
      </c>
      <c r="N41" t="str">
        <f t="shared" si="0"/>
        <v>1.25-IP</v>
      </c>
      <c r="O41">
        <v>1.25</v>
      </c>
      <c r="P41" t="s">
        <v>83</v>
      </c>
      <c r="Q41" t="s">
        <v>84</v>
      </c>
      <c r="X41">
        <v>5.0999999999999899</v>
      </c>
      <c r="Y41" s="61">
        <v>5</v>
      </c>
    </row>
    <row r="42" spans="1:25" x14ac:dyDescent="0.3">
      <c r="A42">
        <v>42</v>
      </c>
      <c r="B42">
        <v>5</v>
      </c>
      <c r="C42" t="s">
        <v>100</v>
      </c>
      <c r="N42" t="str">
        <f t="shared" si="0"/>
        <v>1.5-IP</v>
      </c>
      <c r="O42">
        <v>1.5</v>
      </c>
      <c r="P42" t="s">
        <v>83</v>
      </c>
      <c r="Q42" t="s">
        <v>84</v>
      </c>
      <c r="X42">
        <v>5.1999999999999904</v>
      </c>
      <c r="Y42" s="61">
        <v>5</v>
      </c>
    </row>
    <row r="43" spans="1:25" x14ac:dyDescent="0.3">
      <c r="A43">
        <v>43</v>
      </c>
      <c r="B43">
        <v>5</v>
      </c>
      <c r="C43" t="s">
        <v>100</v>
      </c>
      <c r="N43" t="str">
        <f t="shared" si="0"/>
        <v>1.75-IP</v>
      </c>
      <c r="O43">
        <v>1.75</v>
      </c>
      <c r="P43" t="s">
        <v>83</v>
      </c>
      <c r="Q43" t="s">
        <v>84</v>
      </c>
      <c r="X43">
        <v>5.2999999999999901</v>
      </c>
      <c r="Y43" s="61">
        <v>5</v>
      </c>
    </row>
    <row r="44" spans="1:25" x14ac:dyDescent="0.3">
      <c r="A44">
        <v>44</v>
      </c>
      <c r="B44">
        <v>5</v>
      </c>
      <c r="C44" t="s">
        <v>100</v>
      </c>
      <c r="N44" t="str">
        <f t="shared" si="0"/>
        <v>2-IP</v>
      </c>
      <c r="O44">
        <v>2</v>
      </c>
      <c r="P44" t="s">
        <v>83</v>
      </c>
      <c r="Q44" t="s">
        <v>84</v>
      </c>
      <c r="X44">
        <v>5.3999999999999897</v>
      </c>
      <c r="Y44" s="61">
        <v>5</v>
      </c>
    </row>
    <row r="45" spans="1:25" x14ac:dyDescent="0.3">
      <c r="A45">
        <v>45</v>
      </c>
      <c r="B45">
        <v>5</v>
      </c>
      <c r="C45" t="s">
        <v>100</v>
      </c>
      <c r="N45" t="str">
        <f t="shared" si="0"/>
        <v>2.25-IP</v>
      </c>
      <c r="O45">
        <v>2.25</v>
      </c>
      <c r="P45" t="s">
        <v>83</v>
      </c>
      <c r="Q45" t="s">
        <v>84</v>
      </c>
      <c r="X45">
        <v>5.4999999999999902</v>
      </c>
      <c r="Y45" s="61">
        <v>5</v>
      </c>
    </row>
    <row r="46" spans="1:25" x14ac:dyDescent="0.3">
      <c r="A46">
        <v>46</v>
      </c>
      <c r="B46">
        <v>5</v>
      </c>
      <c r="C46" t="s">
        <v>100</v>
      </c>
      <c r="N46" t="str">
        <f t="shared" si="0"/>
        <v>2.5-IP</v>
      </c>
      <c r="O46">
        <v>2.5</v>
      </c>
      <c r="P46" t="s">
        <v>83</v>
      </c>
      <c r="Q46" t="s">
        <v>84</v>
      </c>
      <c r="X46">
        <v>5.5999999999999899</v>
      </c>
      <c r="Y46" s="61">
        <v>5</v>
      </c>
    </row>
    <row r="47" spans="1:25" x14ac:dyDescent="0.3">
      <c r="A47">
        <v>47</v>
      </c>
      <c r="B47">
        <v>5</v>
      </c>
      <c r="C47" t="s">
        <v>100</v>
      </c>
      <c r="N47" t="str">
        <f t="shared" si="0"/>
        <v>2.75-IP</v>
      </c>
      <c r="O47">
        <v>2.75</v>
      </c>
      <c r="P47" t="s">
        <v>83</v>
      </c>
      <c r="Q47" t="s">
        <v>84</v>
      </c>
      <c r="X47">
        <v>5.6999999999999904</v>
      </c>
      <c r="Y47" s="61">
        <v>5</v>
      </c>
    </row>
    <row r="48" spans="1:25" x14ac:dyDescent="0.3">
      <c r="A48">
        <v>48</v>
      </c>
      <c r="B48">
        <v>5</v>
      </c>
      <c r="C48" t="s">
        <v>100</v>
      </c>
      <c r="N48" t="str">
        <f t="shared" si="0"/>
        <v>3-IP</v>
      </c>
      <c r="O48">
        <v>3</v>
      </c>
      <c r="P48" t="s">
        <v>83</v>
      </c>
      <c r="Q48" t="s">
        <v>84</v>
      </c>
      <c r="X48">
        <v>5.7999999999999901</v>
      </c>
      <c r="Y48" s="61">
        <v>5</v>
      </c>
    </row>
    <row r="49" spans="1:25" x14ac:dyDescent="0.3">
      <c r="A49">
        <v>49</v>
      </c>
      <c r="B49">
        <v>5</v>
      </c>
      <c r="C49" t="s">
        <v>100</v>
      </c>
      <c r="N49" t="str">
        <f t="shared" si="0"/>
        <v>3.25-IP</v>
      </c>
      <c r="O49">
        <v>3.25</v>
      </c>
      <c r="P49" t="s">
        <v>83</v>
      </c>
      <c r="Q49" t="s">
        <v>84</v>
      </c>
      <c r="X49">
        <v>5.8999999999999897</v>
      </c>
      <c r="Y49" s="61">
        <v>5</v>
      </c>
    </row>
    <row r="50" spans="1:25" x14ac:dyDescent="0.3">
      <c r="A50">
        <v>50</v>
      </c>
      <c r="B50">
        <v>5</v>
      </c>
      <c r="C50" t="s">
        <v>100</v>
      </c>
      <c r="N50" t="str">
        <f t="shared" si="0"/>
        <v>3.5-IP</v>
      </c>
      <c r="O50">
        <v>3.5</v>
      </c>
      <c r="P50" t="s">
        <v>83</v>
      </c>
      <c r="Q50" t="s">
        <v>84</v>
      </c>
      <c r="X50">
        <v>5.9999999999999902</v>
      </c>
      <c r="Y50" s="61">
        <v>5</v>
      </c>
    </row>
    <row r="51" spans="1:25" x14ac:dyDescent="0.3">
      <c r="A51">
        <v>51</v>
      </c>
      <c r="B51">
        <v>5</v>
      </c>
      <c r="C51" t="s">
        <v>100</v>
      </c>
      <c r="N51" t="str">
        <f t="shared" si="0"/>
        <v>3.75-IP</v>
      </c>
      <c r="O51">
        <v>3.75</v>
      </c>
      <c r="P51" t="s">
        <v>83</v>
      </c>
      <c r="Q51" t="s">
        <v>84</v>
      </c>
      <c r="X51">
        <v>6.0999999999999899</v>
      </c>
      <c r="Y51" s="61">
        <v>5</v>
      </c>
    </row>
    <row r="52" spans="1:25" x14ac:dyDescent="0.3">
      <c r="A52">
        <v>52</v>
      </c>
      <c r="B52">
        <v>5</v>
      </c>
      <c r="C52" t="s">
        <v>100</v>
      </c>
      <c r="N52" t="str">
        <f t="shared" si="0"/>
        <v>5-IP</v>
      </c>
      <c r="O52">
        <v>5</v>
      </c>
      <c r="P52" t="s">
        <v>83</v>
      </c>
      <c r="Q52" t="s">
        <v>84</v>
      </c>
      <c r="X52">
        <v>6.1999999999999904</v>
      </c>
      <c r="Y52" s="61">
        <v>5</v>
      </c>
    </row>
    <row r="53" spans="1:25" x14ac:dyDescent="0.3">
      <c r="A53">
        <v>53</v>
      </c>
      <c r="B53">
        <v>5</v>
      </c>
      <c r="C53" t="s">
        <v>100</v>
      </c>
      <c r="N53" t="str">
        <f t="shared" si="0"/>
        <v>0-IP</v>
      </c>
      <c r="O53">
        <v>0</v>
      </c>
      <c r="P53" t="s">
        <v>83</v>
      </c>
      <c r="Q53" t="s">
        <v>84</v>
      </c>
      <c r="X53">
        <v>6.2999999999999901</v>
      </c>
      <c r="Y53" s="61">
        <v>5</v>
      </c>
    </row>
    <row r="54" spans="1:25" x14ac:dyDescent="0.3">
      <c r="A54">
        <v>54</v>
      </c>
      <c r="B54">
        <v>5</v>
      </c>
      <c r="C54" t="s">
        <v>100</v>
      </c>
      <c r="N54" t="str">
        <f t="shared" si="0"/>
        <v>0-INC</v>
      </c>
      <c r="O54">
        <v>0</v>
      </c>
      <c r="P54" t="s">
        <v>18</v>
      </c>
      <c r="Q54" t="s">
        <v>49</v>
      </c>
      <c r="X54">
        <v>6.3999999999999897</v>
      </c>
      <c r="Y54" s="61">
        <v>5</v>
      </c>
    </row>
    <row r="55" spans="1:25" x14ac:dyDescent="0.3">
      <c r="A55">
        <v>55</v>
      </c>
      <c r="B55">
        <v>5</v>
      </c>
      <c r="C55" t="s">
        <v>100</v>
      </c>
      <c r="N55" t="str">
        <f t="shared" si="0"/>
        <v>0-DRP</v>
      </c>
      <c r="O55">
        <v>0</v>
      </c>
      <c r="P55" t="s">
        <v>19</v>
      </c>
      <c r="Q55" t="s">
        <v>102</v>
      </c>
      <c r="X55">
        <v>6.4999999999999902</v>
      </c>
      <c r="Y55" s="61">
        <v>5</v>
      </c>
    </row>
    <row r="56" spans="1:25" x14ac:dyDescent="0.3">
      <c r="A56">
        <v>56</v>
      </c>
      <c r="B56">
        <v>5</v>
      </c>
      <c r="C56" t="s">
        <v>100</v>
      </c>
      <c r="N56" t="str">
        <f t="shared" si="0"/>
        <v>0-</v>
      </c>
      <c r="O56">
        <v>0</v>
      </c>
      <c r="Q56" t="s">
        <v>100</v>
      </c>
      <c r="X56">
        <v>6.5999999999999899</v>
      </c>
      <c r="Y56" s="61">
        <v>5</v>
      </c>
    </row>
    <row r="57" spans="1:25" x14ac:dyDescent="0.3">
      <c r="A57">
        <v>57</v>
      </c>
      <c r="B57">
        <v>5</v>
      </c>
      <c r="C57" t="s">
        <v>100</v>
      </c>
      <c r="X57">
        <v>6.6999999999999904</v>
      </c>
      <c r="Y57" s="61">
        <v>5</v>
      </c>
    </row>
    <row r="58" spans="1:25" x14ac:dyDescent="0.3">
      <c r="A58">
        <v>58</v>
      </c>
      <c r="B58">
        <v>5</v>
      </c>
      <c r="C58" t="s">
        <v>100</v>
      </c>
      <c r="X58">
        <v>6.7999999999999901</v>
      </c>
      <c r="Y58" s="61">
        <v>5</v>
      </c>
    </row>
    <row r="59" spans="1:25" x14ac:dyDescent="0.3">
      <c r="A59">
        <v>59</v>
      </c>
      <c r="B59">
        <v>5</v>
      </c>
      <c r="C59" t="s">
        <v>100</v>
      </c>
      <c r="X59">
        <v>6.8999999999999897</v>
      </c>
      <c r="Y59" s="61">
        <v>5</v>
      </c>
    </row>
    <row r="60" spans="1:25" x14ac:dyDescent="0.3">
      <c r="A60">
        <v>60</v>
      </c>
      <c r="B60">
        <v>5</v>
      </c>
      <c r="C60" t="s">
        <v>100</v>
      </c>
      <c r="X60">
        <v>6.9999999999999902</v>
      </c>
      <c r="Y60" s="61">
        <v>5</v>
      </c>
    </row>
    <row r="61" spans="1:25" x14ac:dyDescent="0.3">
      <c r="A61">
        <v>61</v>
      </c>
      <c r="B61">
        <v>5</v>
      </c>
      <c r="C61" t="s">
        <v>100</v>
      </c>
      <c r="X61">
        <v>7.0999999999999899</v>
      </c>
      <c r="Y61" s="61">
        <v>5</v>
      </c>
    </row>
    <row r="62" spans="1:25" x14ac:dyDescent="0.3">
      <c r="A62">
        <v>62</v>
      </c>
      <c r="B62">
        <v>5</v>
      </c>
      <c r="C62" t="s">
        <v>100</v>
      </c>
      <c r="X62">
        <v>7.1999999999999904</v>
      </c>
      <c r="Y62" s="61">
        <v>5</v>
      </c>
    </row>
    <row r="63" spans="1:25" x14ac:dyDescent="0.3">
      <c r="A63">
        <v>63</v>
      </c>
      <c r="B63">
        <v>5</v>
      </c>
      <c r="C63" t="s">
        <v>100</v>
      </c>
      <c r="X63">
        <v>7.2999999999999901</v>
      </c>
      <c r="Y63" s="61">
        <v>5</v>
      </c>
    </row>
    <row r="64" spans="1:25" x14ac:dyDescent="0.3">
      <c r="A64">
        <v>64</v>
      </c>
      <c r="B64">
        <v>5</v>
      </c>
      <c r="C64" t="s">
        <v>100</v>
      </c>
      <c r="X64">
        <v>7.3999999999999897</v>
      </c>
      <c r="Y64" s="61">
        <v>5</v>
      </c>
    </row>
    <row r="65" spans="1:25" x14ac:dyDescent="0.3">
      <c r="A65">
        <v>65</v>
      </c>
      <c r="B65">
        <v>5</v>
      </c>
      <c r="C65" t="s">
        <v>100</v>
      </c>
      <c r="X65">
        <v>7.4999999999999902</v>
      </c>
      <c r="Y65" s="61">
        <v>5</v>
      </c>
    </row>
    <row r="66" spans="1:25" x14ac:dyDescent="0.3">
      <c r="A66">
        <v>66</v>
      </c>
      <c r="B66">
        <v>5</v>
      </c>
      <c r="C66" t="s">
        <v>100</v>
      </c>
      <c r="X66">
        <v>7.5999999999999899</v>
      </c>
      <c r="Y66" s="61">
        <v>5</v>
      </c>
    </row>
    <row r="67" spans="1:25" x14ac:dyDescent="0.3">
      <c r="A67">
        <v>67</v>
      </c>
      <c r="B67">
        <v>5</v>
      </c>
      <c r="C67" t="s">
        <v>100</v>
      </c>
      <c r="X67">
        <v>7.6999999999999904</v>
      </c>
      <c r="Y67" s="61">
        <v>5</v>
      </c>
    </row>
    <row r="68" spans="1:25" x14ac:dyDescent="0.3">
      <c r="A68">
        <v>68</v>
      </c>
      <c r="B68">
        <v>5</v>
      </c>
      <c r="C68" t="s">
        <v>100</v>
      </c>
      <c r="X68">
        <v>7.7999999999999901</v>
      </c>
      <c r="Y68" s="61">
        <v>5</v>
      </c>
    </row>
    <row r="69" spans="1:25" x14ac:dyDescent="0.3">
      <c r="A69">
        <v>69</v>
      </c>
      <c r="B69">
        <v>5</v>
      </c>
      <c r="C69" t="s">
        <v>100</v>
      </c>
      <c r="X69">
        <v>7.8999999999999897</v>
      </c>
      <c r="Y69" s="61">
        <v>5</v>
      </c>
    </row>
    <row r="70" spans="1:25" x14ac:dyDescent="0.3">
      <c r="A70">
        <v>70</v>
      </c>
      <c r="B70">
        <v>5</v>
      </c>
      <c r="C70" t="s">
        <v>100</v>
      </c>
      <c r="X70">
        <v>7.9999999999999902</v>
      </c>
      <c r="Y70" s="61">
        <v>5</v>
      </c>
    </row>
    <row r="71" spans="1:25" x14ac:dyDescent="0.3">
      <c r="A71">
        <v>71</v>
      </c>
      <c r="B71">
        <v>5</v>
      </c>
      <c r="C71" t="s">
        <v>100</v>
      </c>
      <c r="X71">
        <v>8.0999999999999908</v>
      </c>
      <c r="Y71" s="61">
        <v>5</v>
      </c>
    </row>
    <row r="72" spans="1:25" x14ac:dyDescent="0.3">
      <c r="A72">
        <v>72</v>
      </c>
      <c r="B72">
        <v>5</v>
      </c>
      <c r="C72" t="s">
        <v>100</v>
      </c>
      <c r="X72">
        <v>8.1999999999999904</v>
      </c>
      <c r="Y72" s="61">
        <v>5</v>
      </c>
    </row>
    <row r="73" spans="1:25" x14ac:dyDescent="0.3">
      <c r="A73">
        <v>73</v>
      </c>
      <c r="B73">
        <v>5</v>
      </c>
      <c r="C73" t="s">
        <v>100</v>
      </c>
      <c r="X73">
        <v>8.2999999999999901</v>
      </c>
      <c r="Y73" s="61">
        <v>5</v>
      </c>
    </row>
    <row r="74" spans="1:25" x14ac:dyDescent="0.3">
      <c r="A74">
        <v>74</v>
      </c>
      <c r="B74">
        <v>5</v>
      </c>
      <c r="C74" t="s">
        <v>100</v>
      </c>
      <c r="X74">
        <v>8.3999999999999897</v>
      </c>
      <c r="Y74" s="61">
        <v>5</v>
      </c>
    </row>
    <row r="75" spans="1:25" x14ac:dyDescent="0.3">
      <c r="A75">
        <v>75</v>
      </c>
      <c r="B75">
        <v>3</v>
      </c>
      <c r="C75" t="s">
        <v>101</v>
      </c>
      <c r="X75">
        <v>8.4999999999999893</v>
      </c>
      <c r="Y75" s="61">
        <v>5</v>
      </c>
    </row>
    <row r="76" spans="1:25" x14ac:dyDescent="0.3">
      <c r="A76">
        <v>76</v>
      </c>
      <c r="B76">
        <v>3</v>
      </c>
      <c r="C76" t="s">
        <v>101</v>
      </c>
      <c r="X76">
        <v>8.5999999999999908</v>
      </c>
      <c r="Y76" s="61">
        <v>5</v>
      </c>
    </row>
    <row r="77" spans="1:25" x14ac:dyDescent="0.3">
      <c r="A77">
        <v>77</v>
      </c>
      <c r="B77">
        <v>2.75</v>
      </c>
      <c r="C77" t="s">
        <v>101</v>
      </c>
      <c r="X77">
        <v>8.6999999999999904</v>
      </c>
      <c r="Y77" s="61">
        <v>5</v>
      </c>
    </row>
    <row r="78" spans="1:25" x14ac:dyDescent="0.3">
      <c r="A78">
        <v>78</v>
      </c>
      <c r="B78">
        <v>2.75</v>
      </c>
      <c r="C78" t="s">
        <v>101</v>
      </c>
      <c r="X78">
        <v>8.7999999999999901</v>
      </c>
      <c r="Y78" s="61">
        <v>5</v>
      </c>
    </row>
    <row r="79" spans="1:25" x14ac:dyDescent="0.3">
      <c r="A79">
        <v>79</v>
      </c>
      <c r="B79">
        <v>2.75</v>
      </c>
      <c r="C79" t="s">
        <v>101</v>
      </c>
      <c r="X79">
        <v>8.8999999999999897</v>
      </c>
      <c r="Y79" s="61">
        <v>5</v>
      </c>
    </row>
    <row r="80" spans="1:25" x14ac:dyDescent="0.3">
      <c r="A80">
        <v>80</v>
      </c>
      <c r="B80">
        <v>2.5</v>
      </c>
      <c r="C80" t="s">
        <v>101</v>
      </c>
      <c r="X80">
        <v>8.9999999999999893</v>
      </c>
      <c r="Y80" s="61">
        <v>5</v>
      </c>
    </row>
    <row r="81" spans="1:25" x14ac:dyDescent="0.3">
      <c r="A81">
        <v>81</v>
      </c>
      <c r="B81">
        <v>2.5</v>
      </c>
      <c r="C81" t="s">
        <v>101</v>
      </c>
      <c r="X81">
        <v>9.0999999999999908</v>
      </c>
      <c r="Y81" s="61">
        <v>5</v>
      </c>
    </row>
    <row r="82" spans="1:25" x14ac:dyDescent="0.3">
      <c r="A82">
        <v>82</v>
      </c>
      <c r="B82">
        <v>2.5</v>
      </c>
      <c r="C82" t="s">
        <v>101</v>
      </c>
      <c r="X82">
        <v>9.1999999999999904</v>
      </c>
      <c r="Y82" s="61">
        <v>5</v>
      </c>
    </row>
    <row r="83" spans="1:25" x14ac:dyDescent="0.3">
      <c r="A83">
        <v>83</v>
      </c>
      <c r="B83">
        <v>2.25</v>
      </c>
      <c r="C83" t="s">
        <v>101</v>
      </c>
      <c r="X83">
        <v>9.2999999999999901</v>
      </c>
      <c r="Y83" s="61">
        <v>5</v>
      </c>
    </row>
    <row r="84" spans="1:25" x14ac:dyDescent="0.3">
      <c r="A84">
        <v>84</v>
      </c>
      <c r="B84">
        <v>2.25</v>
      </c>
      <c r="C84" t="s">
        <v>101</v>
      </c>
      <c r="X84">
        <v>9.3999999999999897</v>
      </c>
      <c r="Y84" s="61">
        <v>5</v>
      </c>
    </row>
    <row r="85" spans="1:25" x14ac:dyDescent="0.3">
      <c r="A85">
        <v>85</v>
      </c>
      <c r="B85">
        <v>2.25</v>
      </c>
      <c r="C85" t="s">
        <v>101</v>
      </c>
      <c r="X85">
        <v>9.4999999999999893</v>
      </c>
      <c r="Y85" s="61">
        <v>5</v>
      </c>
    </row>
    <row r="86" spans="1:25" x14ac:dyDescent="0.3">
      <c r="A86">
        <v>86</v>
      </c>
      <c r="B86">
        <v>2</v>
      </c>
      <c r="C86" t="s">
        <v>101</v>
      </c>
      <c r="X86">
        <v>9.5999999999999908</v>
      </c>
      <c r="Y86" s="61">
        <v>5</v>
      </c>
    </row>
    <row r="87" spans="1:25" x14ac:dyDescent="0.3">
      <c r="A87">
        <v>87</v>
      </c>
      <c r="B87">
        <v>2</v>
      </c>
      <c r="C87" t="s">
        <v>101</v>
      </c>
      <c r="X87">
        <v>9.6999999999999904</v>
      </c>
      <c r="Y87" s="61">
        <v>5</v>
      </c>
    </row>
    <row r="88" spans="1:25" x14ac:dyDescent="0.3">
      <c r="A88">
        <v>88</v>
      </c>
      <c r="B88">
        <v>2</v>
      </c>
      <c r="C88" t="s">
        <v>101</v>
      </c>
      <c r="X88">
        <v>9.7999999999999901</v>
      </c>
      <c r="Y88" s="61">
        <v>5</v>
      </c>
    </row>
    <row r="89" spans="1:25" x14ac:dyDescent="0.3">
      <c r="A89">
        <v>89</v>
      </c>
      <c r="B89">
        <v>1.75</v>
      </c>
      <c r="C89" t="s">
        <v>101</v>
      </c>
      <c r="X89">
        <v>9.8999999999999897</v>
      </c>
      <c r="Y89" s="61">
        <v>5</v>
      </c>
    </row>
    <row r="90" spans="1:25" x14ac:dyDescent="0.3">
      <c r="A90">
        <v>90</v>
      </c>
      <c r="B90">
        <v>1.75</v>
      </c>
      <c r="C90" t="s">
        <v>101</v>
      </c>
      <c r="X90">
        <v>9.9999999999999893</v>
      </c>
      <c r="Y90" s="61">
        <v>5</v>
      </c>
    </row>
    <row r="91" spans="1:25" x14ac:dyDescent="0.3">
      <c r="A91">
        <v>91</v>
      </c>
      <c r="B91">
        <v>1.75</v>
      </c>
      <c r="C91" t="s">
        <v>101</v>
      </c>
      <c r="X91">
        <v>10.1</v>
      </c>
      <c r="Y91" s="61">
        <v>5</v>
      </c>
    </row>
    <row r="92" spans="1:25" x14ac:dyDescent="0.3">
      <c r="A92">
        <v>92</v>
      </c>
      <c r="B92">
        <v>1.5</v>
      </c>
      <c r="C92" t="s">
        <v>101</v>
      </c>
      <c r="X92">
        <v>10.199999999999999</v>
      </c>
      <c r="Y92" s="61">
        <v>5</v>
      </c>
    </row>
    <row r="93" spans="1:25" x14ac:dyDescent="0.3">
      <c r="A93">
        <v>93</v>
      </c>
      <c r="B93">
        <v>1.5</v>
      </c>
      <c r="C93" t="s">
        <v>101</v>
      </c>
      <c r="X93">
        <v>10.3</v>
      </c>
      <c r="Y93" s="61">
        <v>5</v>
      </c>
    </row>
    <row r="94" spans="1:25" x14ac:dyDescent="0.3">
      <c r="A94">
        <v>94</v>
      </c>
      <c r="B94">
        <v>1.5</v>
      </c>
      <c r="C94" t="s">
        <v>101</v>
      </c>
      <c r="X94">
        <v>10.4</v>
      </c>
      <c r="Y94" s="61">
        <v>5</v>
      </c>
    </row>
    <row r="95" spans="1:25" x14ac:dyDescent="0.3">
      <c r="A95">
        <v>95</v>
      </c>
      <c r="B95">
        <v>1.25</v>
      </c>
      <c r="C95" t="s">
        <v>101</v>
      </c>
      <c r="X95">
        <v>10.5</v>
      </c>
      <c r="Y95" s="61">
        <v>5</v>
      </c>
    </row>
    <row r="96" spans="1:25" x14ac:dyDescent="0.3">
      <c r="A96">
        <v>96</v>
      </c>
      <c r="B96">
        <v>1.25</v>
      </c>
      <c r="C96" t="s">
        <v>101</v>
      </c>
      <c r="X96">
        <v>10.6</v>
      </c>
      <c r="Y96" s="61">
        <v>5</v>
      </c>
    </row>
    <row r="97" spans="1:25" x14ac:dyDescent="0.3">
      <c r="A97">
        <v>97</v>
      </c>
      <c r="B97">
        <v>1.25</v>
      </c>
      <c r="C97" t="s">
        <v>101</v>
      </c>
      <c r="X97">
        <v>10.7</v>
      </c>
      <c r="Y97" s="61">
        <v>5</v>
      </c>
    </row>
    <row r="98" spans="1:25" x14ac:dyDescent="0.3">
      <c r="A98">
        <v>98</v>
      </c>
      <c r="B98">
        <v>1</v>
      </c>
      <c r="C98" t="s">
        <v>101</v>
      </c>
      <c r="X98">
        <v>10.8</v>
      </c>
      <c r="Y98" s="61">
        <v>5</v>
      </c>
    </row>
    <row r="99" spans="1:25" x14ac:dyDescent="0.3">
      <c r="A99">
        <v>99</v>
      </c>
      <c r="B99">
        <v>1</v>
      </c>
      <c r="C99" t="s">
        <v>101</v>
      </c>
      <c r="X99">
        <v>10.9</v>
      </c>
      <c r="Y99" s="61">
        <v>5</v>
      </c>
    </row>
    <row r="100" spans="1:25" x14ac:dyDescent="0.3">
      <c r="A100">
        <v>100</v>
      </c>
      <c r="B100">
        <v>1</v>
      </c>
      <c r="C100" t="s">
        <v>101</v>
      </c>
      <c r="X100">
        <v>11</v>
      </c>
      <c r="Y100" s="61">
        <v>5</v>
      </c>
    </row>
    <row r="101" spans="1:25" x14ac:dyDescent="0.3">
      <c r="A101" s="27" t="s">
        <v>18</v>
      </c>
      <c r="B101" s="27" t="s">
        <v>18</v>
      </c>
      <c r="C101" t="s">
        <v>49</v>
      </c>
      <c r="X101">
        <v>11.1</v>
      </c>
      <c r="Y101" s="61">
        <v>5</v>
      </c>
    </row>
    <row r="102" spans="1:25" x14ac:dyDescent="0.3">
      <c r="A102" s="27" t="s">
        <v>19</v>
      </c>
      <c r="B102" s="27" t="s">
        <v>19</v>
      </c>
      <c r="C102" t="s">
        <v>102</v>
      </c>
      <c r="X102">
        <v>11.2</v>
      </c>
      <c r="Y102" s="61">
        <v>5</v>
      </c>
    </row>
    <row r="103" spans="1:25" x14ac:dyDescent="0.3">
      <c r="A103" s="27" t="s">
        <v>83</v>
      </c>
      <c r="B103" s="27" t="s">
        <v>83</v>
      </c>
      <c r="C103" t="s">
        <v>84</v>
      </c>
      <c r="X103">
        <v>11.3</v>
      </c>
      <c r="Y103" s="61">
        <v>5</v>
      </c>
    </row>
    <row r="104" spans="1:25" x14ac:dyDescent="0.3">
      <c r="X104">
        <v>11.4</v>
      </c>
      <c r="Y104" s="61">
        <v>5</v>
      </c>
    </row>
    <row r="105" spans="1:25" x14ac:dyDescent="0.3">
      <c r="X105">
        <v>11.5</v>
      </c>
      <c r="Y105" s="61">
        <v>5</v>
      </c>
    </row>
    <row r="106" spans="1:25" x14ac:dyDescent="0.3">
      <c r="X106">
        <v>11.6</v>
      </c>
      <c r="Y106" s="61">
        <v>5</v>
      </c>
    </row>
    <row r="107" spans="1:25" x14ac:dyDescent="0.3">
      <c r="X107">
        <v>11.7</v>
      </c>
      <c r="Y107" s="61">
        <v>5</v>
      </c>
    </row>
    <row r="108" spans="1:25" x14ac:dyDescent="0.3">
      <c r="X108">
        <v>11.8</v>
      </c>
      <c r="Y108" s="61">
        <v>5</v>
      </c>
    </row>
    <row r="109" spans="1:25" x14ac:dyDescent="0.3">
      <c r="X109">
        <v>11.9</v>
      </c>
      <c r="Y109" s="61">
        <v>5</v>
      </c>
    </row>
    <row r="110" spans="1:25" x14ac:dyDescent="0.3">
      <c r="X110">
        <v>12</v>
      </c>
      <c r="Y110" s="61">
        <v>5</v>
      </c>
    </row>
    <row r="111" spans="1:25" x14ac:dyDescent="0.3">
      <c r="X111">
        <v>12.1</v>
      </c>
      <c r="Y111" s="61">
        <v>5</v>
      </c>
    </row>
    <row r="112" spans="1:25" x14ac:dyDescent="0.3">
      <c r="X112">
        <v>12.2</v>
      </c>
      <c r="Y112" s="61">
        <v>5</v>
      </c>
    </row>
    <row r="113" spans="24:25" x14ac:dyDescent="0.3">
      <c r="X113">
        <v>12.3</v>
      </c>
      <c r="Y113" s="61">
        <v>5</v>
      </c>
    </row>
    <row r="114" spans="24:25" x14ac:dyDescent="0.3">
      <c r="X114">
        <v>12.4</v>
      </c>
      <c r="Y114" s="61">
        <v>5</v>
      </c>
    </row>
    <row r="115" spans="24:25" x14ac:dyDescent="0.3">
      <c r="X115">
        <v>12.5</v>
      </c>
      <c r="Y115" s="61">
        <v>5</v>
      </c>
    </row>
    <row r="116" spans="24:25" x14ac:dyDescent="0.3">
      <c r="X116">
        <v>12.6</v>
      </c>
      <c r="Y116" s="61">
        <v>5</v>
      </c>
    </row>
    <row r="117" spans="24:25" x14ac:dyDescent="0.3">
      <c r="X117">
        <v>12.7</v>
      </c>
      <c r="Y117" s="61">
        <v>5</v>
      </c>
    </row>
    <row r="118" spans="24:25" x14ac:dyDescent="0.3">
      <c r="X118">
        <v>12.8</v>
      </c>
      <c r="Y118" s="61">
        <v>5</v>
      </c>
    </row>
    <row r="119" spans="24:25" x14ac:dyDescent="0.3">
      <c r="X119">
        <v>12.9</v>
      </c>
      <c r="Y119" s="61">
        <v>5</v>
      </c>
    </row>
    <row r="120" spans="24:25" x14ac:dyDescent="0.3">
      <c r="X120">
        <v>13</v>
      </c>
      <c r="Y120" s="61">
        <v>5</v>
      </c>
    </row>
    <row r="121" spans="24:25" x14ac:dyDescent="0.3">
      <c r="X121">
        <v>13.1</v>
      </c>
      <c r="Y121" s="61">
        <v>5</v>
      </c>
    </row>
    <row r="122" spans="24:25" x14ac:dyDescent="0.3">
      <c r="X122">
        <v>13.2</v>
      </c>
      <c r="Y122" s="61">
        <v>5</v>
      </c>
    </row>
    <row r="123" spans="24:25" x14ac:dyDescent="0.3">
      <c r="X123">
        <v>13.3</v>
      </c>
      <c r="Y123" s="61">
        <v>5</v>
      </c>
    </row>
    <row r="124" spans="24:25" x14ac:dyDescent="0.3">
      <c r="X124">
        <v>13.4</v>
      </c>
      <c r="Y124" s="61">
        <v>5</v>
      </c>
    </row>
    <row r="125" spans="24:25" x14ac:dyDescent="0.3">
      <c r="X125">
        <v>13.5</v>
      </c>
      <c r="Y125" s="61">
        <v>5</v>
      </c>
    </row>
    <row r="126" spans="24:25" x14ac:dyDescent="0.3">
      <c r="X126">
        <v>13.6</v>
      </c>
      <c r="Y126" s="61">
        <v>5</v>
      </c>
    </row>
    <row r="127" spans="24:25" x14ac:dyDescent="0.3">
      <c r="X127">
        <v>13.7</v>
      </c>
      <c r="Y127" s="61">
        <v>5</v>
      </c>
    </row>
    <row r="128" spans="24:25" x14ac:dyDescent="0.3">
      <c r="X128">
        <v>13.8</v>
      </c>
      <c r="Y128" s="61">
        <v>5</v>
      </c>
    </row>
    <row r="129" spans="24:25" x14ac:dyDescent="0.3">
      <c r="X129">
        <v>13.9</v>
      </c>
      <c r="Y129" s="61">
        <v>5</v>
      </c>
    </row>
    <row r="130" spans="24:25" x14ac:dyDescent="0.3">
      <c r="X130">
        <v>14</v>
      </c>
      <c r="Y130" s="61">
        <v>5</v>
      </c>
    </row>
    <row r="131" spans="24:25" x14ac:dyDescent="0.3">
      <c r="X131">
        <v>14.1</v>
      </c>
      <c r="Y131" s="61">
        <v>5</v>
      </c>
    </row>
    <row r="132" spans="24:25" x14ac:dyDescent="0.3">
      <c r="X132">
        <v>14.2</v>
      </c>
      <c r="Y132" s="61">
        <v>5</v>
      </c>
    </row>
    <row r="133" spans="24:25" x14ac:dyDescent="0.3">
      <c r="X133">
        <v>14.3</v>
      </c>
      <c r="Y133" s="61">
        <v>5</v>
      </c>
    </row>
    <row r="134" spans="24:25" x14ac:dyDescent="0.3">
      <c r="X134">
        <v>14.4</v>
      </c>
      <c r="Y134" s="61">
        <v>5</v>
      </c>
    </row>
    <row r="135" spans="24:25" x14ac:dyDescent="0.3">
      <c r="X135">
        <v>14.5</v>
      </c>
      <c r="Y135" s="61">
        <v>5</v>
      </c>
    </row>
    <row r="136" spans="24:25" x14ac:dyDescent="0.3">
      <c r="X136">
        <v>14.6</v>
      </c>
      <c r="Y136" s="61">
        <v>5</v>
      </c>
    </row>
    <row r="137" spans="24:25" x14ac:dyDescent="0.3">
      <c r="X137">
        <v>14.7</v>
      </c>
      <c r="Y137" s="61">
        <v>5</v>
      </c>
    </row>
    <row r="138" spans="24:25" x14ac:dyDescent="0.3">
      <c r="X138">
        <v>14.8</v>
      </c>
      <c r="Y138" s="61">
        <v>5</v>
      </c>
    </row>
    <row r="139" spans="24:25" x14ac:dyDescent="0.3">
      <c r="X139">
        <v>14.9</v>
      </c>
      <c r="Y139" s="61">
        <v>5</v>
      </c>
    </row>
    <row r="140" spans="24:25" x14ac:dyDescent="0.3">
      <c r="X140">
        <v>15</v>
      </c>
      <c r="Y140" s="61">
        <v>5</v>
      </c>
    </row>
    <row r="141" spans="24:25" x14ac:dyDescent="0.3">
      <c r="X141">
        <v>15.1</v>
      </c>
      <c r="Y141" s="61">
        <v>5</v>
      </c>
    </row>
    <row r="142" spans="24:25" x14ac:dyDescent="0.3">
      <c r="X142">
        <v>15.2</v>
      </c>
      <c r="Y142" s="61">
        <v>5</v>
      </c>
    </row>
    <row r="143" spans="24:25" x14ac:dyDescent="0.3">
      <c r="X143">
        <v>15.3</v>
      </c>
      <c r="Y143" s="61">
        <v>5</v>
      </c>
    </row>
    <row r="144" spans="24:25" x14ac:dyDescent="0.3">
      <c r="X144">
        <v>15.4</v>
      </c>
      <c r="Y144" s="61">
        <v>5</v>
      </c>
    </row>
    <row r="145" spans="24:25" x14ac:dyDescent="0.3">
      <c r="X145">
        <v>15.5</v>
      </c>
      <c r="Y145" s="61">
        <v>5</v>
      </c>
    </row>
    <row r="146" spans="24:25" x14ac:dyDescent="0.3">
      <c r="X146">
        <v>15.6</v>
      </c>
      <c r="Y146" s="61">
        <v>5</v>
      </c>
    </row>
    <row r="147" spans="24:25" x14ac:dyDescent="0.3">
      <c r="X147">
        <v>15.7</v>
      </c>
      <c r="Y147" s="61">
        <v>5</v>
      </c>
    </row>
    <row r="148" spans="24:25" x14ac:dyDescent="0.3">
      <c r="X148">
        <v>15.8</v>
      </c>
      <c r="Y148" s="61">
        <v>5</v>
      </c>
    </row>
    <row r="149" spans="24:25" x14ac:dyDescent="0.3">
      <c r="X149">
        <v>15.9</v>
      </c>
      <c r="Y149" s="61">
        <v>5</v>
      </c>
    </row>
    <row r="150" spans="24:25" x14ac:dyDescent="0.3">
      <c r="X150">
        <v>16</v>
      </c>
      <c r="Y150" s="61">
        <v>5</v>
      </c>
    </row>
    <row r="151" spans="24:25" x14ac:dyDescent="0.3">
      <c r="X151">
        <v>16.100000000000001</v>
      </c>
      <c r="Y151" s="61">
        <v>5</v>
      </c>
    </row>
    <row r="152" spans="24:25" x14ac:dyDescent="0.3">
      <c r="X152">
        <v>16.2</v>
      </c>
      <c r="Y152" s="61">
        <v>5</v>
      </c>
    </row>
    <row r="153" spans="24:25" x14ac:dyDescent="0.3">
      <c r="X153">
        <v>16.3</v>
      </c>
      <c r="Y153" s="61">
        <v>5</v>
      </c>
    </row>
    <row r="154" spans="24:25" x14ac:dyDescent="0.3">
      <c r="X154">
        <v>16.399999999999999</v>
      </c>
      <c r="Y154" s="61">
        <v>5</v>
      </c>
    </row>
    <row r="155" spans="24:25" x14ac:dyDescent="0.3">
      <c r="X155">
        <v>16.5</v>
      </c>
      <c r="Y155" s="61">
        <v>5</v>
      </c>
    </row>
    <row r="156" spans="24:25" x14ac:dyDescent="0.3">
      <c r="X156">
        <v>16.600000000000001</v>
      </c>
      <c r="Y156" s="61">
        <v>5</v>
      </c>
    </row>
    <row r="157" spans="24:25" x14ac:dyDescent="0.3">
      <c r="X157">
        <v>16.7</v>
      </c>
      <c r="Y157" s="61">
        <v>5</v>
      </c>
    </row>
    <row r="158" spans="24:25" x14ac:dyDescent="0.3">
      <c r="X158">
        <v>16.8</v>
      </c>
      <c r="Y158" s="61">
        <v>5</v>
      </c>
    </row>
    <row r="159" spans="24:25" x14ac:dyDescent="0.3">
      <c r="X159">
        <v>16.899999999999999</v>
      </c>
      <c r="Y159" s="61">
        <v>5</v>
      </c>
    </row>
    <row r="160" spans="24:25" x14ac:dyDescent="0.3">
      <c r="X160">
        <v>17</v>
      </c>
      <c r="Y160" s="61">
        <v>5</v>
      </c>
    </row>
    <row r="161" spans="24:25" x14ac:dyDescent="0.3">
      <c r="X161">
        <v>17.100000000000001</v>
      </c>
      <c r="Y161" s="61">
        <v>5</v>
      </c>
    </row>
    <row r="162" spans="24:25" x14ac:dyDescent="0.3">
      <c r="X162">
        <v>17.2</v>
      </c>
      <c r="Y162" s="61">
        <v>5</v>
      </c>
    </row>
    <row r="163" spans="24:25" x14ac:dyDescent="0.3">
      <c r="X163">
        <v>17.3</v>
      </c>
      <c r="Y163" s="61">
        <v>5</v>
      </c>
    </row>
    <row r="164" spans="24:25" x14ac:dyDescent="0.3">
      <c r="X164">
        <v>17.399999999999999</v>
      </c>
      <c r="Y164" s="61">
        <v>5</v>
      </c>
    </row>
    <row r="165" spans="24:25" x14ac:dyDescent="0.3">
      <c r="X165">
        <v>17.5</v>
      </c>
      <c r="Y165" s="61">
        <v>5</v>
      </c>
    </row>
    <row r="166" spans="24:25" x14ac:dyDescent="0.3">
      <c r="X166">
        <v>17.600000000000001</v>
      </c>
      <c r="Y166" s="61">
        <v>5</v>
      </c>
    </row>
    <row r="167" spans="24:25" x14ac:dyDescent="0.3">
      <c r="X167">
        <v>17.7</v>
      </c>
      <c r="Y167" s="61">
        <v>5</v>
      </c>
    </row>
    <row r="168" spans="24:25" x14ac:dyDescent="0.3">
      <c r="X168">
        <v>17.8</v>
      </c>
      <c r="Y168" s="61">
        <v>5</v>
      </c>
    </row>
    <row r="169" spans="24:25" x14ac:dyDescent="0.3">
      <c r="X169">
        <v>17.899999999999999</v>
      </c>
      <c r="Y169" s="61">
        <v>5</v>
      </c>
    </row>
    <row r="170" spans="24:25" x14ac:dyDescent="0.3">
      <c r="X170">
        <v>18</v>
      </c>
      <c r="Y170" s="61">
        <v>5</v>
      </c>
    </row>
    <row r="171" spans="24:25" x14ac:dyDescent="0.3">
      <c r="X171">
        <v>18.100000000000001</v>
      </c>
      <c r="Y171" s="61">
        <v>5</v>
      </c>
    </row>
    <row r="172" spans="24:25" x14ac:dyDescent="0.3">
      <c r="X172">
        <v>18.2</v>
      </c>
      <c r="Y172" s="61">
        <v>5</v>
      </c>
    </row>
    <row r="173" spans="24:25" x14ac:dyDescent="0.3">
      <c r="X173">
        <v>18.3</v>
      </c>
      <c r="Y173" s="61">
        <v>5</v>
      </c>
    </row>
    <row r="174" spans="24:25" x14ac:dyDescent="0.3">
      <c r="X174">
        <v>18.399999999999999</v>
      </c>
      <c r="Y174" s="61">
        <v>5</v>
      </c>
    </row>
    <row r="175" spans="24:25" x14ac:dyDescent="0.3">
      <c r="X175">
        <v>18.5</v>
      </c>
      <c r="Y175" s="61">
        <v>5</v>
      </c>
    </row>
    <row r="176" spans="24:25" x14ac:dyDescent="0.3">
      <c r="X176">
        <v>18.600000000000001</v>
      </c>
      <c r="Y176" s="61">
        <v>5</v>
      </c>
    </row>
    <row r="177" spans="24:25" x14ac:dyDescent="0.3">
      <c r="X177">
        <v>18.7</v>
      </c>
      <c r="Y177" s="61">
        <v>5</v>
      </c>
    </row>
    <row r="178" spans="24:25" x14ac:dyDescent="0.3">
      <c r="X178">
        <v>18.8</v>
      </c>
      <c r="Y178" s="61">
        <v>5</v>
      </c>
    </row>
    <row r="179" spans="24:25" x14ac:dyDescent="0.3">
      <c r="X179">
        <v>18.899999999999999</v>
      </c>
      <c r="Y179" s="61">
        <v>5</v>
      </c>
    </row>
    <row r="180" spans="24:25" x14ac:dyDescent="0.3">
      <c r="X180">
        <v>19</v>
      </c>
      <c r="Y180" s="61">
        <v>5</v>
      </c>
    </row>
    <row r="181" spans="24:25" x14ac:dyDescent="0.3">
      <c r="X181">
        <v>19.100000000000001</v>
      </c>
      <c r="Y181" s="61">
        <v>5</v>
      </c>
    </row>
    <row r="182" spans="24:25" x14ac:dyDescent="0.3">
      <c r="X182">
        <v>19.2</v>
      </c>
      <c r="Y182" s="61">
        <v>5</v>
      </c>
    </row>
    <row r="183" spans="24:25" x14ac:dyDescent="0.3">
      <c r="X183">
        <v>19.3</v>
      </c>
      <c r="Y183" s="61">
        <v>5</v>
      </c>
    </row>
    <row r="184" spans="24:25" x14ac:dyDescent="0.3">
      <c r="X184">
        <v>19.399999999999999</v>
      </c>
      <c r="Y184" s="61">
        <v>5</v>
      </c>
    </row>
    <row r="185" spans="24:25" x14ac:dyDescent="0.3">
      <c r="X185">
        <v>19.5</v>
      </c>
      <c r="Y185" s="61">
        <v>5</v>
      </c>
    </row>
    <row r="186" spans="24:25" x14ac:dyDescent="0.3">
      <c r="X186">
        <v>19.600000000000001</v>
      </c>
      <c r="Y186" s="61">
        <v>5</v>
      </c>
    </row>
    <row r="187" spans="24:25" x14ac:dyDescent="0.3">
      <c r="X187">
        <v>19.7</v>
      </c>
      <c r="Y187" s="61">
        <v>5</v>
      </c>
    </row>
    <row r="188" spans="24:25" x14ac:dyDescent="0.3">
      <c r="X188">
        <v>19.8</v>
      </c>
      <c r="Y188" s="61">
        <v>5</v>
      </c>
    </row>
    <row r="189" spans="24:25" x14ac:dyDescent="0.3">
      <c r="X189">
        <v>19.899999999999999</v>
      </c>
      <c r="Y189" s="61">
        <v>5</v>
      </c>
    </row>
    <row r="190" spans="24:25" x14ac:dyDescent="0.3">
      <c r="X190">
        <v>20</v>
      </c>
      <c r="Y190" s="61">
        <v>5</v>
      </c>
    </row>
    <row r="191" spans="24:25" x14ac:dyDescent="0.3">
      <c r="X191">
        <v>20.100000000000001</v>
      </c>
      <c r="Y191" s="61">
        <v>5</v>
      </c>
    </row>
    <row r="192" spans="24:25" x14ac:dyDescent="0.3">
      <c r="X192">
        <v>20.2</v>
      </c>
      <c r="Y192" s="61">
        <v>5</v>
      </c>
    </row>
    <row r="193" spans="24:25" x14ac:dyDescent="0.3">
      <c r="X193">
        <v>20.3</v>
      </c>
      <c r="Y193" s="61">
        <v>5</v>
      </c>
    </row>
    <row r="194" spans="24:25" x14ac:dyDescent="0.3">
      <c r="X194">
        <v>20.399999999999999</v>
      </c>
      <c r="Y194" s="61">
        <v>5</v>
      </c>
    </row>
    <row r="195" spans="24:25" x14ac:dyDescent="0.3">
      <c r="X195">
        <v>20.5</v>
      </c>
      <c r="Y195" s="61">
        <v>5</v>
      </c>
    </row>
    <row r="196" spans="24:25" x14ac:dyDescent="0.3">
      <c r="X196">
        <v>20.6</v>
      </c>
      <c r="Y196" s="61">
        <v>5</v>
      </c>
    </row>
    <row r="197" spans="24:25" x14ac:dyDescent="0.3">
      <c r="X197">
        <v>20.7</v>
      </c>
      <c r="Y197" s="61">
        <v>5</v>
      </c>
    </row>
    <row r="198" spans="24:25" x14ac:dyDescent="0.3">
      <c r="X198">
        <v>20.8</v>
      </c>
      <c r="Y198" s="61">
        <v>5</v>
      </c>
    </row>
    <row r="199" spans="24:25" x14ac:dyDescent="0.3">
      <c r="X199">
        <v>20.9</v>
      </c>
      <c r="Y199" s="61">
        <v>5</v>
      </c>
    </row>
    <row r="200" spans="24:25" x14ac:dyDescent="0.3">
      <c r="X200">
        <v>21</v>
      </c>
      <c r="Y200" s="61">
        <v>5</v>
      </c>
    </row>
    <row r="201" spans="24:25" x14ac:dyDescent="0.3">
      <c r="X201">
        <v>21.1</v>
      </c>
      <c r="Y201" s="61">
        <v>5</v>
      </c>
    </row>
    <row r="202" spans="24:25" x14ac:dyDescent="0.3">
      <c r="X202">
        <v>21.2</v>
      </c>
      <c r="Y202" s="61">
        <v>5</v>
      </c>
    </row>
    <row r="203" spans="24:25" x14ac:dyDescent="0.3">
      <c r="X203">
        <v>21.3</v>
      </c>
      <c r="Y203" s="61">
        <v>5</v>
      </c>
    </row>
    <row r="204" spans="24:25" x14ac:dyDescent="0.3">
      <c r="X204">
        <v>21.4</v>
      </c>
      <c r="Y204" s="61">
        <v>5</v>
      </c>
    </row>
    <row r="205" spans="24:25" x14ac:dyDescent="0.3">
      <c r="X205">
        <v>21.5</v>
      </c>
      <c r="Y205" s="61">
        <v>5</v>
      </c>
    </row>
    <row r="206" spans="24:25" x14ac:dyDescent="0.3">
      <c r="X206">
        <v>21.6</v>
      </c>
      <c r="Y206" s="61">
        <v>5</v>
      </c>
    </row>
    <row r="207" spans="24:25" x14ac:dyDescent="0.3">
      <c r="X207">
        <v>21.7</v>
      </c>
      <c r="Y207" s="61">
        <v>5</v>
      </c>
    </row>
    <row r="208" spans="24:25" x14ac:dyDescent="0.3">
      <c r="X208">
        <v>21.8</v>
      </c>
      <c r="Y208" s="61">
        <v>5</v>
      </c>
    </row>
    <row r="209" spans="24:25" x14ac:dyDescent="0.3">
      <c r="X209">
        <v>21.9</v>
      </c>
      <c r="Y209" s="61">
        <v>5</v>
      </c>
    </row>
    <row r="210" spans="24:25" x14ac:dyDescent="0.3">
      <c r="X210">
        <v>22</v>
      </c>
      <c r="Y210" s="61">
        <v>5</v>
      </c>
    </row>
    <row r="211" spans="24:25" x14ac:dyDescent="0.3">
      <c r="X211">
        <v>22.1</v>
      </c>
      <c r="Y211" s="61">
        <v>5</v>
      </c>
    </row>
    <row r="212" spans="24:25" x14ac:dyDescent="0.3">
      <c r="X212">
        <v>22.2</v>
      </c>
      <c r="Y212" s="61">
        <v>5</v>
      </c>
    </row>
    <row r="213" spans="24:25" x14ac:dyDescent="0.3">
      <c r="X213">
        <v>22.3</v>
      </c>
      <c r="Y213" s="61">
        <v>5</v>
      </c>
    </row>
    <row r="214" spans="24:25" x14ac:dyDescent="0.3">
      <c r="X214">
        <v>22.4</v>
      </c>
      <c r="Y214" s="61">
        <v>5</v>
      </c>
    </row>
    <row r="215" spans="24:25" x14ac:dyDescent="0.3">
      <c r="X215">
        <v>22.5</v>
      </c>
      <c r="Y215" s="61">
        <v>5</v>
      </c>
    </row>
    <row r="216" spans="24:25" x14ac:dyDescent="0.3">
      <c r="X216">
        <v>22.6</v>
      </c>
      <c r="Y216" s="61">
        <v>5</v>
      </c>
    </row>
    <row r="217" spans="24:25" x14ac:dyDescent="0.3">
      <c r="X217">
        <v>22.7</v>
      </c>
      <c r="Y217" s="61">
        <v>5</v>
      </c>
    </row>
    <row r="218" spans="24:25" x14ac:dyDescent="0.3">
      <c r="X218">
        <v>22.8</v>
      </c>
      <c r="Y218" s="61">
        <v>5</v>
      </c>
    </row>
    <row r="219" spans="24:25" x14ac:dyDescent="0.3">
      <c r="X219">
        <v>22.9</v>
      </c>
      <c r="Y219" s="61">
        <v>5</v>
      </c>
    </row>
    <row r="220" spans="24:25" x14ac:dyDescent="0.3">
      <c r="X220">
        <v>23</v>
      </c>
      <c r="Y220" s="61">
        <v>5</v>
      </c>
    </row>
    <row r="221" spans="24:25" x14ac:dyDescent="0.3">
      <c r="X221">
        <v>23.1</v>
      </c>
      <c r="Y221" s="61">
        <v>5</v>
      </c>
    </row>
    <row r="222" spans="24:25" x14ac:dyDescent="0.3">
      <c r="X222">
        <v>23.2</v>
      </c>
      <c r="Y222" s="61">
        <v>5</v>
      </c>
    </row>
    <row r="223" spans="24:25" x14ac:dyDescent="0.3">
      <c r="X223">
        <v>23.3</v>
      </c>
      <c r="Y223" s="61">
        <v>5</v>
      </c>
    </row>
    <row r="224" spans="24:25" x14ac:dyDescent="0.3">
      <c r="X224">
        <v>23.4</v>
      </c>
      <c r="Y224" s="61">
        <v>5</v>
      </c>
    </row>
    <row r="225" spans="24:25" x14ac:dyDescent="0.3">
      <c r="X225">
        <v>23.5</v>
      </c>
      <c r="Y225" s="61">
        <v>5</v>
      </c>
    </row>
    <row r="226" spans="24:25" x14ac:dyDescent="0.3">
      <c r="X226">
        <v>23.6</v>
      </c>
      <c r="Y226" s="61">
        <v>5</v>
      </c>
    </row>
    <row r="227" spans="24:25" x14ac:dyDescent="0.3">
      <c r="X227">
        <v>23.7</v>
      </c>
      <c r="Y227" s="61">
        <v>5</v>
      </c>
    </row>
    <row r="228" spans="24:25" x14ac:dyDescent="0.3">
      <c r="X228">
        <v>23.8</v>
      </c>
      <c r="Y228" s="61">
        <v>5</v>
      </c>
    </row>
    <row r="229" spans="24:25" x14ac:dyDescent="0.3">
      <c r="X229">
        <v>23.9</v>
      </c>
      <c r="Y229" s="61">
        <v>5</v>
      </c>
    </row>
    <row r="230" spans="24:25" x14ac:dyDescent="0.3">
      <c r="X230">
        <v>24</v>
      </c>
      <c r="Y230" s="61">
        <v>5</v>
      </c>
    </row>
    <row r="231" spans="24:25" x14ac:dyDescent="0.3">
      <c r="X231">
        <v>24.1</v>
      </c>
      <c r="Y231" s="61">
        <v>5</v>
      </c>
    </row>
    <row r="232" spans="24:25" x14ac:dyDescent="0.3">
      <c r="X232">
        <v>24.2</v>
      </c>
      <c r="Y232" s="61">
        <v>5</v>
      </c>
    </row>
    <row r="233" spans="24:25" x14ac:dyDescent="0.3">
      <c r="X233">
        <v>24.3</v>
      </c>
      <c r="Y233" s="61">
        <v>5</v>
      </c>
    </row>
    <row r="234" spans="24:25" x14ac:dyDescent="0.3">
      <c r="X234">
        <v>24.4</v>
      </c>
      <c r="Y234" s="61">
        <v>5</v>
      </c>
    </row>
    <row r="235" spans="24:25" x14ac:dyDescent="0.3">
      <c r="X235">
        <v>24.5</v>
      </c>
      <c r="Y235" s="61">
        <v>5</v>
      </c>
    </row>
    <row r="236" spans="24:25" x14ac:dyDescent="0.3">
      <c r="X236">
        <v>24.6</v>
      </c>
      <c r="Y236" s="61">
        <v>5</v>
      </c>
    </row>
    <row r="237" spans="24:25" x14ac:dyDescent="0.3">
      <c r="X237">
        <v>24.7</v>
      </c>
      <c r="Y237" s="61">
        <v>5</v>
      </c>
    </row>
    <row r="238" spans="24:25" x14ac:dyDescent="0.3">
      <c r="X238">
        <v>24.8</v>
      </c>
      <c r="Y238" s="61">
        <v>5</v>
      </c>
    </row>
    <row r="239" spans="24:25" x14ac:dyDescent="0.3">
      <c r="X239">
        <v>24.9</v>
      </c>
      <c r="Y239" s="61">
        <v>5</v>
      </c>
    </row>
    <row r="240" spans="24:25" x14ac:dyDescent="0.3">
      <c r="X240">
        <v>25</v>
      </c>
      <c r="Y240" s="61">
        <v>5</v>
      </c>
    </row>
    <row r="241" spans="24:25" x14ac:dyDescent="0.3">
      <c r="X241">
        <v>25.1</v>
      </c>
      <c r="Y241" s="61">
        <v>5</v>
      </c>
    </row>
    <row r="242" spans="24:25" x14ac:dyDescent="0.3">
      <c r="X242">
        <v>25.2</v>
      </c>
      <c r="Y242" s="61">
        <v>5</v>
      </c>
    </row>
    <row r="243" spans="24:25" x14ac:dyDescent="0.3">
      <c r="X243">
        <v>25.3</v>
      </c>
      <c r="Y243" s="61">
        <v>5</v>
      </c>
    </row>
    <row r="244" spans="24:25" x14ac:dyDescent="0.3">
      <c r="X244">
        <v>25.4</v>
      </c>
      <c r="Y244" s="61">
        <v>5</v>
      </c>
    </row>
    <row r="245" spans="24:25" x14ac:dyDescent="0.3">
      <c r="X245">
        <v>25.5</v>
      </c>
      <c r="Y245" s="61">
        <v>5</v>
      </c>
    </row>
    <row r="246" spans="24:25" x14ac:dyDescent="0.3">
      <c r="X246">
        <v>25.6</v>
      </c>
      <c r="Y246" s="61">
        <v>5</v>
      </c>
    </row>
    <row r="247" spans="24:25" x14ac:dyDescent="0.3">
      <c r="X247">
        <v>25.7</v>
      </c>
      <c r="Y247" s="61">
        <v>5</v>
      </c>
    </row>
    <row r="248" spans="24:25" x14ac:dyDescent="0.3">
      <c r="X248">
        <v>25.8</v>
      </c>
      <c r="Y248" s="61">
        <v>5</v>
      </c>
    </row>
    <row r="249" spans="24:25" x14ac:dyDescent="0.3">
      <c r="X249">
        <v>25.9</v>
      </c>
      <c r="Y249" s="61">
        <v>5</v>
      </c>
    </row>
    <row r="250" spans="24:25" x14ac:dyDescent="0.3">
      <c r="X250">
        <v>26</v>
      </c>
      <c r="Y250" s="61">
        <v>5</v>
      </c>
    </row>
    <row r="251" spans="24:25" x14ac:dyDescent="0.3">
      <c r="X251">
        <v>26.1</v>
      </c>
      <c r="Y251" s="61">
        <v>5</v>
      </c>
    </row>
    <row r="252" spans="24:25" x14ac:dyDescent="0.3">
      <c r="X252">
        <v>26.2</v>
      </c>
      <c r="Y252" s="61">
        <v>5</v>
      </c>
    </row>
    <row r="253" spans="24:25" x14ac:dyDescent="0.3">
      <c r="X253">
        <v>26.3</v>
      </c>
      <c r="Y253" s="61">
        <v>5</v>
      </c>
    </row>
    <row r="254" spans="24:25" x14ac:dyDescent="0.3">
      <c r="X254">
        <v>26.4</v>
      </c>
      <c r="Y254" s="61">
        <v>5</v>
      </c>
    </row>
    <row r="255" spans="24:25" x14ac:dyDescent="0.3">
      <c r="X255">
        <v>26.5</v>
      </c>
      <c r="Y255" s="61">
        <v>5</v>
      </c>
    </row>
    <row r="256" spans="24:25" x14ac:dyDescent="0.3">
      <c r="X256">
        <v>26.6</v>
      </c>
      <c r="Y256" s="61">
        <v>5</v>
      </c>
    </row>
    <row r="257" spans="24:25" x14ac:dyDescent="0.3">
      <c r="X257">
        <v>26.7</v>
      </c>
      <c r="Y257" s="61">
        <v>5</v>
      </c>
    </row>
    <row r="258" spans="24:25" x14ac:dyDescent="0.3">
      <c r="X258">
        <v>26.8</v>
      </c>
      <c r="Y258" s="61">
        <v>5</v>
      </c>
    </row>
    <row r="259" spans="24:25" x14ac:dyDescent="0.3">
      <c r="X259">
        <v>26.9</v>
      </c>
      <c r="Y259" s="61">
        <v>5</v>
      </c>
    </row>
    <row r="260" spans="24:25" x14ac:dyDescent="0.3">
      <c r="X260">
        <v>27</v>
      </c>
      <c r="Y260" s="61">
        <v>5</v>
      </c>
    </row>
    <row r="261" spans="24:25" x14ac:dyDescent="0.3">
      <c r="X261">
        <v>27.1</v>
      </c>
      <c r="Y261" s="61">
        <v>5</v>
      </c>
    </row>
    <row r="262" spans="24:25" x14ac:dyDescent="0.3">
      <c r="X262">
        <v>27.2</v>
      </c>
      <c r="Y262" s="61">
        <v>5</v>
      </c>
    </row>
    <row r="263" spans="24:25" x14ac:dyDescent="0.3">
      <c r="X263">
        <v>27.3</v>
      </c>
      <c r="Y263" s="61">
        <v>5</v>
      </c>
    </row>
    <row r="264" spans="24:25" x14ac:dyDescent="0.3">
      <c r="X264">
        <v>27.4</v>
      </c>
      <c r="Y264" s="61">
        <v>5</v>
      </c>
    </row>
    <row r="265" spans="24:25" x14ac:dyDescent="0.3">
      <c r="X265">
        <v>27.5</v>
      </c>
      <c r="Y265" s="61">
        <v>5</v>
      </c>
    </row>
    <row r="266" spans="24:25" x14ac:dyDescent="0.3">
      <c r="X266">
        <v>27.6</v>
      </c>
      <c r="Y266" s="61">
        <v>5</v>
      </c>
    </row>
    <row r="267" spans="24:25" x14ac:dyDescent="0.3">
      <c r="X267">
        <v>27.7</v>
      </c>
      <c r="Y267" s="61">
        <v>5</v>
      </c>
    </row>
    <row r="268" spans="24:25" x14ac:dyDescent="0.3">
      <c r="X268">
        <v>27.8</v>
      </c>
      <c r="Y268" s="61">
        <v>5</v>
      </c>
    </row>
    <row r="269" spans="24:25" x14ac:dyDescent="0.3">
      <c r="X269">
        <v>27.9</v>
      </c>
      <c r="Y269" s="61">
        <v>5</v>
      </c>
    </row>
    <row r="270" spans="24:25" x14ac:dyDescent="0.3">
      <c r="X270">
        <v>28</v>
      </c>
      <c r="Y270" s="61">
        <v>5</v>
      </c>
    </row>
    <row r="271" spans="24:25" x14ac:dyDescent="0.3">
      <c r="X271">
        <v>28.1</v>
      </c>
      <c r="Y271" s="61">
        <v>5</v>
      </c>
    </row>
    <row r="272" spans="24:25" x14ac:dyDescent="0.3">
      <c r="X272">
        <v>28.2</v>
      </c>
      <c r="Y272" s="61">
        <v>5</v>
      </c>
    </row>
    <row r="273" spans="24:25" x14ac:dyDescent="0.3">
      <c r="X273">
        <v>28.3</v>
      </c>
      <c r="Y273" s="61">
        <v>5</v>
      </c>
    </row>
    <row r="274" spans="24:25" x14ac:dyDescent="0.3">
      <c r="X274">
        <v>28.4</v>
      </c>
      <c r="Y274" s="61">
        <v>5</v>
      </c>
    </row>
    <row r="275" spans="24:25" x14ac:dyDescent="0.3">
      <c r="X275">
        <v>28.5</v>
      </c>
      <c r="Y275" s="61">
        <v>5</v>
      </c>
    </row>
    <row r="276" spans="24:25" x14ac:dyDescent="0.3">
      <c r="X276">
        <v>28.6</v>
      </c>
      <c r="Y276" s="61">
        <v>5</v>
      </c>
    </row>
    <row r="277" spans="24:25" x14ac:dyDescent="0.3">
      <c r="X277">
        <v>28.7</v>
      </c>
      <c r="Y277" s="61">
        <v>5</v>
      </c>
    </row>
    <row r="278" spans="24:25" x14ac:dyDescent="0.3">
      <c r="X278">
        <v>28.8</v>
      </c>
      <c r="Y278" s="61">
        <v>5</v>
      </c>
    </row>
    <row r="279" spans="24:25" x14ac:dyDescent="0.3">
      <c r="X279">
        <v>28.9</v>
      </c>
      <c r="Y279" s="61">
        <v>5</v>
      </c>
    </row>
    <row r="280" spans="24:25" x14ac:dyDescent="0.3">
      <c r="X280">
        <v>29</v>
      </c>
      <c r="Y280" s="61">
        <v>5</v>
      </c>
    </row>
    <row r="281" spans="24:25" x14ac:dyDescent="0.3">
      <c r="X281">
        <v>29.1</v>
      </c>
      <c r="Y281" s="61">
        <v>5</v>
      </c>
    </row>
    <row r="282" spans="24:25" x14ac:dyDescent="0.3">
      <c r="X282">
        <v>29.2</v>
      </c>
      <c r="Y282" s="61">
        <v>5</v>
      </c>
    </row>
    <row r="283" spans="24:25" x14ac:dyDescent="0.3">
      <c r="X283">
        <v>29.3</v>
      </c>
      <c r="Y283" s="61">
        <v>5</v>
      </c>
    </row>
    <row r="284" spans="24:25" x14ac:dyDescent="0.3">
      <c r="X284">
        <v>29.4</v>
      </c>
      <c r="Y284" s="61">
        <v>5</v>
      </c>
    </row>
    <row r="285" spans="24:25" x14ac:dyDescent="0.3">
      <c r="X285">
        <v>29.5</v>
      </c>
      <c r="Y285" s="61">
        <v>5</v>
      </c>
    </row>
    <row r="286" spans="24:25" x14ac:dyDescent="0.3">
      <c r="X286">
        <v>29.6</v>
      </c>
      <c r="Y286" s="61">
        <v>5</v>
      </c>
    </row>
    <row r="287" spans="24:25" x14ac:dyDescent="0.3">
      <c r="X287">
        <v>29.7</v>
      </c>
      <c r="Y287" s="61">
        <v>5</v>
      </c>
    </row>
    <row r="288" spans="24:25" x14ac:dyDescent="0.3">
      <c r="X288">
        <v>29.8</v>
      </c>
      <c r="Y288" s="61">
        <v>5</v>
      </c>
    </row>
    <row r="289" spans="24:25" x14ac:dyDescent="0.3">
      <c r="X289">
        <v>29.9</v>
      </c>
      <c r="Y289" s="61">
        <v>5</v>
      </c>
    </row>
    <row r="290" spans="24:25" x14ac:dyDescent="0.3">
      <c r="X290">
        <v>30</v>
      </c>
      <c r="Y290" s="61">
        <v>5</v>
      </c>
    </row>
    <row r="291" spans="24:25" x14ac:dyDescent="0.3">
      <c r="X291">
        <v>30.1</v>
      </c>
      <c r="Y291" s="61">
        <v>5</v>
      </c>
    </row>
    <row r="292" spans="24:25" x14ac:dyDescent="0.3">
      <c r="X292">
        <v>30.2</v>
      </c>
      <c r="Y292" s="61">
        <v>5</v>
      </c>
    </row>
    <row r="293" spans="24:25" x14ac:dyDescent="0.3">
      <c r="X293">
        <v>30.3</v>
      </c>
      <c r="Y293" s="61">
        <v>5</v>
      </c>
    </row>
    <row r="294" spans="24:25" x14ac:dyDescent="0.3">
      <c r="X294">
        <v>30.4</v>
      </c>
      <c r="Y294" s="61">
        <v>5</v>
      </c>
    </row>
    <row r="295" spans="24:25" x14ac:dyDescent="0.3">
      <c r="X295">
        <v>30.5</v>
      </c>
      <c r="Y295" s="61">
        <v>5</v>
      </c>
    </row>
    <row r="296" spans="24:25" x14ac:dyDescent="0.3">
      <c r="X296">
        <v>30.6</v>
      </c>
      <c r="Y296" s="61">
        <v>5</v>
      </c>
    </row>
    <row r="297" spans="24:25" x14ac:dyDescent="0.3">
      <c r="X297">
        <v>30.7</v>
      </c>
      <c r="Y297" s="61">
        <v>5</v>
      </c>
    </row>
    <row r="298" spans="24:25" x14ac:dyDescent="0.3">
      <c r="X298">
        <v>30.8</v>
      </c>
      <c r="Y298" s="61">
        <v>5</v>
      </c>
    </row>
    <row r="299" spans="24:25" x14ac:dyDescent="0.3">
      <c r="X299">
        <v>30.9</v>
      </c>
      <c r="Y299" s="61">
        <v>5</v>
      </c>
    </row>
    <row r="300" spans="24:25" x14ac:dyDescent="0.3">
      <c r="X300">
        <v>31</v>
      </c>
      <c r="Y300" s="61">
        <v>5</v>
      </c>
    </row>
    <row r="301" spans="24:25" x14ac:dyDescent="0.3">
      <c r="X301">
        <v>31.1</v>
      </c>
      <c r="Y301" s="61">
        <v>5</v>
      </c>
    </row>
    <row r="302" spans="24:25" x14ac:dyDescent="0.3">
      <c r="X302">
        <v>31.2</v>
      </c>
      <c r="Y302" s="61">
        <v>5</v>
      </c>
    </row>
    <row r="303" spans="24:25" x14ac:dyDescent="0.3">
      <c r="X303">
        <v>31.3</v>
      </c>
      <c r="Y303" s="61">
        <v>5</v>
      </c>
    </row>
    <row r="304" spans="24:25" x14ac:dyDescent="0.3">
      <c r="X304">
        <v>31.4</v>
      </c>
      <c r="Y304" s="61">
        <v>5</v>
      </c>
    </row>
    <row r="305" spans="24:25" x14ac:dyDescent="0.3">
      <c r="X305">
        <v>31.5</v>
      </c>
      <c r="Y305" s="61">
        <v>5</v>
      </c>
    </row>
    <row r="306" spans="24:25" x14ac:dyDescent="0.3">
      <c r="X306">
        <v>31.6</v>
      </c>
      <c r="Y306" s="61">
        <v>5</v>
      </c>
    </row>
    <row r="307" spans="24:25" x14ac:dyDescent="0.3">
      <c r="X307">
        <v>31.7</v>
      </c>
      <c r="Y307" s="61">
        <v>5</v>
      </c>
    </row>
    <row r="308" spans="24:25" x14ac:dyDescent="0.3">
      <c r="X308">
        <v>31.8</v>
      </c>
      <c r="Y308" s="61">
        <v>5</v>
      </c>
    </row>
    <row r="309" spans="24:25" x14ac:dyDescent="0.3">
      <c r="X309">
        <v>31.9</v>
      </c>
      <c r="Y309" s="61">
        <v>5</v>
      </c>
    </row>
    <row r="310" spans="24:25" x14ac:dyDescent="0.3">
      <c r="X310">
        <v>32</v>
      </c>
      <c r="Y310" s="61">
        <v>5</v>
      </c>
    </row>
    <row r="311" spans="24:25" x14ac:dyDescent="0.3">
      <c r="X311">
        <v>32.1</v>
      </c>
      <c r="Y311" s="61">
        <v>5</v>
      </c>
    </row>
    <row r="312" spans="24:25" x14ac:dyDescent="0.3">
      <c r="X312">
        <v>32.200000000000003</v>
      </c>
      <c r="Y312" s="61">
        <v>5</v>
      </c>
    </row>
    <row r="313" spans="24:25" x14ac:dyDescent="0.3">
      <c r="X313">
        <v>32.299999999999997</v>
      </c>
      <c r="Y313" s="61">
        <v>5</v>
      </c>
    </row>
    <row r="314" spans="24:25" x14ac:dyDescent="0.3">
      <c r="X314">
        <v>32.4</v>
      </c>
      <c r="Y314" s="61">
        <v>5</v>
      </c>
    </row>
    <row r="315" spans="24:25" x14ac:dyDescent="0.3">
      <c r="X315">
        <v>32.5</v>
      </c>
      <c r="Y315" s="61">
        <v>5</v>
      </c>
    </row>
    <row r="316" spans="24:25" x14ac:dyDescent="0.3">
      <c r="X316">
        <v>32.6</v>
      </c>
      <c r="Y316" s="61">
        <v>5</v>
      </c>
    </row>
    <row r="317" spans="24:25" x14ac:dyDescent="0.3">
      <c r="X317">
        <v>32.700000000000003</v>
      </c>
      <c r="Y317" s="61">
        <v>5</v>
      </c>
    </row>
    <row r="318" spans="24:25" x14ac:dyDescent="0.3">
      <c r="X318">
        <v>32.799999999999997</v>
      </c>
      <c r="Y318" s="61">
        <v>5</v>
      </c>
    </row>
    <row r="319" spans="24:25" x14ac:dyDescent="0.3">
      <c r="X319">
        <v>32.9</v>
      </c>
      <c r="Y319" s="61">
        <v>5</v>
      </c>
    </row>
    <row r="320" spans="24:25" x14ac:dyDescent="0.3">
      <c r="X320">
        <v>33</v>
      </c>
      <c r="Y320" s="61">
        <v>5</v>
      </c>
    </row>
    <row r="321" spans="24:25" x14ac:dyDescent="0.3">
      <c r="X321">
        <v>33.1</v>
      </c>
      <c r="Y321" s="61">
        <v>5</v>
      </c>
    </row>
    <row r="322" spans="24:25" x14ac:dyDescent="0.3">
      <c r="X322">
        <v>33.200000000000003</v>
      </c>
      <c r="Y322" s="61">
        <v>5</v>
      </c>
    </row>
    <row r="323" spans="24:25" x14ac:dyDescent="0.3">
      <c r="X323">
        <v>33.299999999999997</v>
      </c>
      <c r="Y323" s="61">
        <v>5</v>
      </c>
    </row>
    <row r="324" spans="24:25" x14ac:dyDescent="0.3">
      <c r="X324">
        <v>33.4</v>
      </c>
      <c r="Y324" s="61">
        <v>5</v>
      </c>
    </row>
    <row r="325" spans="24:25" x14ac:dyDescent="0.3">
      <c r="X325">
        <v>33.5</v>
      </c>
      <c r="Y325" s="61">
        <v>5</v>
      </c>
    </row>
    <row r="326" spans="24:25" x14ac:dyDescent="0.3">
      <c r="X326">
        <v>33.6</v>
      </c>
      <c r="Y326" s="61">
        <v>5</v>
      </c>
    </row>
    <row r="327" spans="24:25" x14ac:dyDescent="0.3">
      <c r="X327">
        <v>33.700000000000003</v>
      </c>
      <c r="Y327" s="61">
        <v>5</v>
      </c>
    </row>
    <row r="328" spans="24:25" x14ac:dyDescent="0.3">
      <c r="X328">
        <v>33.799999999999997</v>
      </c>
      <c r="Y328" s="61">
        <v>5</v>
      </c>
    </row>
    <row r="329" spans="24:25" x14ac:dyDescent="0.3">
      <c r="X329">
        <v>33.9</v>
      </c>
      <c r="Y329" s="61">
        <v>5</v>
      </c>
    </row>
    <row r="330" spans="24:25" x14ac:dyDescent="0.3">
      <c r="X330">
        <v>34</v>
      </c>
      <c r="Y330" s="61">
        <v>5</v>
      </c>
    </row>
    <row r="331" spans="24:25" x14ac:dyDescent="0.3">
      <c r="X331">
        <v>34.1</v>
      </c>
      <c r="Y331" s="61">
        <v>5</v>
      </c>
    </row>
    <row r="332" spans="24:25" x14ac:dyDescent="0.3">
      <c r="X332">
        <v>34.200000000000003</v>
      </c>
      <c r="Y332" s="61">
        <v>5</v>
      </c>
    </row>
    <row r="333" spans="24:25" x14ac:dyDescent="0.3">
      <c r="X333">
        <v>34.299999999999997</v>
      </c>
      <c r="Y333" s="61">
        <v>5</v>
      </c>
    </row>
    <row r="334" spans="24:25" x14ac:dyDescent="0.3">
      <c r="X334">
        <v>34.4</v>
      </c>
      <c r="Y334" s="61">
        <v>5</v>
      </c>
    </row>
    <row r="335" spans="24:25" x14ac:dyDescent="0.3">
      <c r="X335">
        <v>34.5</v>
      </c>
      <c r="Y335" s="61">
        <v>5</v>
      </c>
    </row>
    <row r="336" spans="24:25" x14ac:dyDescent="0.3">
      <c r="X336">
        <v>34.6</v>
      </c>
      <c r="Y336" s="61">
        <v>5</v>
      </c>
    </row>
    <row r="337" spans="24:25" x14ac:dyDescent="0.3">
      <c r="X337">
        <v>34.700000000000003</v>
      </c>
      <c r="Y337" s="61">
        <v>5</v>
      </c>
    </row>
    <row r="338" spans="24:25" x14ac:dyDescent="0.3">
      <c r="X338">
        <v>34.799999999999997</v>
      </c>
      <c r="Y338" s="61">
        <v>5</v>
      </c>
    </row>
    <row r="339" spans="24:25" x14ac:dyDescent="0.3">
      <c r="X339">
        <v>34.9</v>
      </c>
      <c r="Y339" s="61">
        <v>5</v>
      </c>
    </row>
    <row r="340" spans="24:25" x14ac:dyDescent="0.3">
      <c r="X340">
        <v>35</v>
      </c>
      <c r="Y340" s="61">
        <v>5</v>
      </c>
    </row>
    <row r="341" spans="24:25" x14ac:dyDescent="0.3">
      <c r="X341">
        <v>35.1</v>
      </c>
      <c r="Y341" s="61">
        <v>5</v>
      </c>
    </row>
    <row r="342" spans="24:25" x14ac:dyDescent="0.3">
      <c r="X342">
        <v>35.200000000000003</v>
      </c>
      <c r="Y342" s="61">
        <v>5</v>
      </c>
    </row>
    <row r="343" spans="24:25" x14ac:dyDescent="0.3">
      <c r="X343">
        <v>35.299999999999997</v>
      </c>
      <c r="Y343" s="61">
        <v>5</v>
      </c>
    </row>
    <row r="344" spans="24:25" x14ac:dyDescent="0.3">
      <c r="X344">
        <v>35.4</v>
      </c>
      <c r="Y344" s="61">
        <v>5</v>
      </c>
    </row>
    <row r="345" spans="24:25" x14ac:dyDescent="0.3">
      <c r="X345">
        <v>35.5</v>
      </c>
      <c r="Y345" s="61">
        <v>5</v>
      </c>
    </row>
    <row r="346" spans="24:25" x14ac:dyDescent="0.3">
      <c r="X346">
        <v>35.6</v>
      </c>
      <c r="Y346" s="61">
        <v>5</v>
      </c>
    </row>
    <row r="347" spans="24:25" x14ac:dyDescent="0.3">
      <c r="X347">
        <v>35.700000000000003</v>
      </c>
      <c r="Y347" s="61">
        <v>5</v>
      </c>
    </row>
    <row r="348" spans="24:25" x14ac:dyDescent="0.3">
      <c r="X348">
        <v>35.799999999999997</v>
      </c>
      <c r="Y348" s="61">
        <v>5</v>
      </c>
    </row>
    <row r="349" spans="24:25" x14ac:dyDescent="0.3">
      <c r="X349">
        <v>35.9</v>
      </c>
      <c r="Y349" s="61">
        <v>5</v>
      </c>
    </row>
    <row r="350" spans="24:25" x14ac:dyDescent="0.3">
      <c r="X350">
        <v>36</v>
      </c>
      <c r="Y350" s="61">
        <v>5</v>
      </c>
    </row>
    <row r="351" spans="24:25" x14ac:dyDescent="0.3">
      <c r="X351">
        <v>36.1</v>
      </c>
      <c r="Y351" s="61">
        <v>5</v>
      </c>
    </row>
    <row r="352" spans="24:25" x14ac:dyDescent="0.3">
      <c r="X352">
        <v>36.200000000000003</v>
      </c>
      <c r="Y352" s="61">
        <v>5</v>
      </c>
    </row>
    <row r="353" spans="24:25" x14ac:dyDescent="0.3">
      <c r="X353">
        <v>36.299999999999997</v>
      </c>
      <c r="Y353" s="61">
        <v>5</v>
      </c>
    </row>
    <row r="354" spans="24:25" x14ac:dyDescent="0.3">
      <c r="X354">
        <v>36.4</v>
      </c>
      <c r="Y354" s="61">
        <v>5</v>
      </c>
    </row>
    <row r="355" spans="24:25" x14ac:dyDescent="0.3">
      <c r="X355">
        <v>36.5</v>
      </c>
      <c r="Y355" s="61">
        <v>5</v>
      </c>
    </row>
    <row r="356" spans="24:25" x14ac:dyDescent="0.3">
      <c r="X356">
        <v>36.6</v>
      </c>
      <c r="Y356" s="61">
        <v>5</v>
      </c>
    </row>
    <row r="357" spans="24:25" x14ac:dyDescent="0.3">
      <c r="X357">
        <v>36.700000000000003</v>
      </c>
      <c r="Y357" s="61">
        <v>5</v>
      </c>
    </row>
    <row r="358" spans="24:25" x14ac:dyDescent="0.3">
      <c r="X358">
        <v>36.799999999999997</v>
      </c>
      <c r="Y358" s="61">
        <v>5</v>
      </c>
    </row>
    <row r="359" spans="24:25" x14ac:dyDescent="0.3">
      <c r="X359">
        <v>36.9</v>
      </c>
      <c r="Y359" s="61">
        <v>5</v>
      </c>
    </row>
    <row r="360" spans="24:25" x14ac:dyDescent="0.3">
      <c r="X360">
        <v>36.999999999999901</v>
      </c>
      <c r="Y360" s="61">
        <v>5</v>
      </c>
    </row>
    <row r="361" spans="24:25" x14ac:dyDescent="0.3">
      <c r="X361">
        <v>37.1</v>
      </c>
      <c r="Y361" s="61">
        <v>5</v>
      </c>
    </row>
    <row r="362" spans="24:25" x14ac:dyDescent="0.3">
      <c r="X362">
        <v>37.200000000000003</v>
      </c>
      <c r="Y362" s="61">
        <v>5</v>
      </c>
    </row>
    <row r="363" spans="24:25" x14ac:dyDescent="0.3">
      <c r="X363">
        <v>37.299999999999997</v>
      </c>
      <c r="Y363" s="61">
        <v>5</v>
      </c>
    </row>
    <row r="364" spans="24:25" x14ac:dyDescent="0.3">
      <c r="X364">
        <v>37.4</v>
      </c>
      <c r="Y364" s="61">
        <v>5</v>
      </c>
    </row>
    <row r="365" spans="24:25" x14ac:dyDescent="0.3">
      <c r="X365">
        <v>37.499999999999901</v>
      </c>
      <c r="Y365" s="61">
        <v>5</v>
      </c>
    </row>
    <row r="366" spans="24:25" x14ac:dyDescent="0.3">
      <c r="X366">
        <v>37.6</v>
      </c>
      <c r="Y366" s="61">
        <v>5</v>
      </c>
    </row>
    <row r="367" spans="24:25" x14ac:dyDescent="0.3">
      <c r="X367">
        <v>37.700000000000003</v>
      </c>
      <c r="Y367" s="61">
        <v>5</v>
      </c>
    </row>
    <row r="368" spans="24:25" x14ac:dyDescent="0.3">
      <c r="X368">
        <v>37.799999999999997</v>
      </c>
      <c r="Y368" s="61">
        <v>5</v>
      </c>
    </row>
    <row r="369" spans="24:25" x14ac:dyDescent="0.3">
      <c r="X369">
        <v>37.9</v>
      </c>
      <c r="Y369" s="61">
        <v>5</v>
      </c>
    </row>
    <row r="370" spans="24:25" x14ac:dyDescent="0.3">
      <c r="X370">
        <v>37.999999999999901</v>
      </c>
      <c r="Y370" s="61">
        <v>5</v>
      </c>
    </row>
    <row r="371" spans="24:25" x14ac:dyDescent="0.3">
      <c r="X371">
        <v>38.1</v>
      </c>
      <c r="Y371" s="61">
        <v>5</v>
      </c>
    </row>
    <row r="372" spans="24:25" x14ac:dyDescent="0.3">
      <c r="X372">
        <v>38.200000000000003</v>
      </c>
      <c r="Y372" s="61">
        <v>5</v>
      </c>
    </row>
    <row r="373" spans="24:25" x14ac:dyDescent="0.3">
      <c r="X373">
        <v>38.299999999999997</v>
      </c>
      <c r="Y373" s="61">
        <v>5</v>
      </c>
    </row>
    <row r="374" spans="24:25" x14ac:dyDescent="0.3">
      <c r="X374">
        <v>38.399999999999899</v>
      </c>
      <c r="Y374" s="61">
        <v>5</v>
      </c>
    </row>
    <row r="375" spans="24:25" x14ac:dyDescent="0.3">
      <c r="X375">
        <v>38.499999999999901</v>
      </c>
      <c r="Y375" s="61">
        <v>5</v>
      </c>
    </row>
    <row r="376" spans="24:25" x14ac:dyDescent="0.3">
      <c r="X376">
        <v>38.6</v>
      </c>
      <c r="Y376" s="61">
        <v>5</v>
      </c>
    </row>
    <row r="377" spans="24:25" x14ac:dyDescent="0.3">
      <c r="X377">
        <v>38.700000000000003</v>
      </c>
      <c r="Y377" s="61">
        <v>5</v>
      </c>
    </row>
    <row r="378" spans="24:25" x14ac:dyDescent="0.3">
      <c r="X378">
        <v>38.799999999999997</v>
      </c>
      <c r="Y378" s="61">
        <v>5</v>
      </c>
    </row>
    <row r="379" spans="24:25" x14ac:dyDescent="0.3">
      <c r="X379">
        <v>38.899999999999899</v>
      </c>
      <c r="Y379" s="61">
        <v>5</v>
      </c>
    </row>
    <row r="380" spans="24:25" x14ac:dyDescent="0.3">
      <c r="X380">
        <v>38.999999999999901</v>
      </c>
      <c r="Y380" s="61">
        <v>5</v>
      </c>
    </row>
    <row r="381" spans="24:25" x14ac:dyDescent="0.3">
      <c r="X381">
        <v>39.1</v>
      </c>
      <c r="Y381" s="61">
        <v>5</v>
      </c>
    </row>
    <row r="382" spans="24:25" x14ac:dyDescent="0.3">
      <c r="X382">
        <v>39.200000000000003</v>
      </c>
      <c r="Y382" s="61">
        <v>5</v>
      </c>
    </row>
    <row r="383" spans="24:25" x14ac:dyDescent="0.3">
      <c r="X383">
        <v>39.299999999999898</v>
      </c>
      <c r="Y383" s="61">
        <v>5</v>
      </c>
    </row>
    <row r="384" spans="24:25" x14ac:dyDescent="0.3">
      <c r="X384">
        <v>39.399999999999899</v>
      </c>
      <c r="Y384" s="61">
        <v>5</v>
      </c>
    </row>
    <row r="385" spans="24:25" x14ac:dyDescent="0.3">
      <c r="X385">
        <v>39.499999999999901</v>
      </c>
      <c r="Y385" s="61">
        <v>5</v>
      </c>
    </row>
    <row r="386" spans="24:25" x14ac:dyDescent="0.3">
      <c r="X386">
        <v>39.6</v>
      </c>
      <c r="Y386" s="61">
        <v>5</v>
      </c>
    </row>
    <row r="387" spans="24:25" x14ac:dyDescent="0.3">
      <c r="X387">
        <v>39.700000000000003</v>
      </c>
      <c r="Y387" s="61">
        <v>5</v>
      </c>
    </row>
    <row r="388" spans="24:25" x14ac:dyDescent="0.3">
      <c r="X388">
        <v>39.799999999999898</v>
      </c>
      <c r="Y388" s="61">
        <v>5</v>
      </c>
    </row>
    <row r="389" spans="24:25" x14ac:dyDescent="0.3">
      <c r="X389">
        <v>39.899999999999899</v>
      </c>
      <c r="Y389" s="61">
        <v>5</v>
      </c>
    </row>
    <row r="390" spans="24:25" x14ac:dyDescent="0.3">
      <c r="X390">
        <v>39.999999999999901</v>
      </c>
      <c r="Y390" s="61">
        <v>5</v>
      </c>
    </row>
    <row r="391" spans="24:25" x14ac:dyDescent="0.3">
      <c r="X391">
        <v>40.1</v>
      </c>
      <c r="Y391" s="61">
        <v>5</v>
      </c>
    </row>
    <row r="392" spans="24:25" x14ac:dyDescent="0.3">
      <c r="X392">
        <v>40.199999999999903</v>
      </c>
      <c r="Y392" s="61">
        <v>5</v>
      </c>
    </row>
    <row r="393" spans="24:25" x14ac:dyDescent="0.3">
      <c r="X393">
        <v>40.299999999999898</v>
      </c>
      <c r="Y393" s="61">
        <v>5</v>
      </c>
    </row>
    <row r="394" spans="24:25" x14ac:dyDescent="0.3">
      <c r="X394">
        <v>40.399999999999899</v>
      </c>
      <c r="Y394" s="61">
        <v>5</v>
      </c>
    </row>
    <row r="395" spans="24:25" x14ac:dyDescent="0.3">
      <c r="X395">
        <v>40.499999999999901</v>
      </c>
      <c r="Y395" s="61">
        <v>5</v>
      </c>
    </row>
    <row r="396" spans="24:25" x14ac:dyDescent="0.3">
      <c r="X396">
        <v>40.6</v>
      </c>
      <c r="Y396" s="61">
        <v>5</v>
      </c>
    </row>
    <row r="397" spans="24:25" x14ac:dyDescent="0.3">
      <c r="X397">
        <v>40.699999999999903</v>
      </c>
      <c r="Y397" s="61">
        <v>5</v>
      </c>
    </row>
    <row r="398" spans="24:25" x14ac:dyDescent="0.3">
      <c r="X398">
        <v>40.799999999999898</v>
      </c>
      <c r="Y398" s="61">
        <v>5</v>
      </c>
    </row>
    <row r="399" spans="24:25" x14ac:dyDescent="0.3">
      <c r="X399">
        <v>40.899999999999899</v>
      </c>
      <c r="Y399" s="61">
        <v>5</v>
      </c>
    </row>
    <row r="400" spans="24:25" x14ac:dyDescent="0.3">
      <c r="X400">
        <v>40.999999999999901</v>
      </c>
      <c r="Y400" s="61">
        <v>5</v>
      </c>
    </row>
    <row r="401" spans="24:25" x14ac:dyDescent="0.3">
      <c r="X401">
        <v>41.099999999999902</v>
      </c>
      <c r="Y401" s="61">
        <v>5</v>
      </c>
    </row>
    <row r="402" spans="24:25" x14ac:dyDescent="0.3">
      <c r="X402">
        <v>41.199999999999903</v>
      </c>
      <c r="Y402" s="61">
        <v>5</v>
      </c>
    </row>
    <row r="403" spans="24:25" x14ac:dyDescent="0.3">
      <c r="X403">
        <v>41.299999999999898</v>
      </c>
      <c r="Y403" s="61">
        <v>5</v>
      </c>
    </row>
    <row r="404" spans="24:25" x14ac:dyDescent="0.3">
      <c r="X404">
        <v>41.399999999999899</v>
      </c>
      <c r="Y404" s="61">
        <v>5</v>
      </c>
    </row>
    <row r="405" spans="24:25" x14ac:dyDescent="0.3">
      <c r="X405">
        <v>41.499999999999901</v>
      </c>
      <c r="Y405" s="61">
        <v>5</v>
      </c>
    </row>
    <row r="406" spans="24:25" x14ac:dyDescent="0.3">
      <c r="X406">
        <v>41.599999999999902</v>
      </c>
      <c r="Y406" s="61">
        <v>5</v>
      </c>
    </row>
    <row r="407" spans="24:25" x14ac:dyDescent="0.3">
      <c r="X407">
        <v>41.699999999999903</v>
      </c>
      <c r="Y407" s="61">
        <v>5</v>
      </c>
    </row>
    <row r="408" spans="24:25" x14ac:dyDescent="0.3">
      <c r="X408">
        <v>41.799999999999898</v>
      </c>
      <c r="Y408" s="61">
        <v>5</v>
      </c>
    </row>
    <row r="409" spans="24:25" x14ac:dyDescent="0.3">
      <c r="X409">
        <v>41.899999999999899</v>
      </c>
      <c r="Y409" s="61">
        <v>5</v>
      </c>
    </row>
    <row r="410" spans="24:25" x14ac:dyDescent="0.3">
      <c r="X410">
        <v>41.999999999999901</v>
      </c>
      <c r="Y410" s="61">
        <v>5</v>
      </c>
    </row>
    <row r="411" spans="24:25" x14ac:dyDescent="0.3">
      <c r="X411">
        <v>42.099999999999902</v>
      </c>
      <c r="Y411" s="61">
        <v>5</v>
      </c>
    </row>
    <row r="412" spans="24:25" x14ac:dyDescent="0.3">
      <c r="X412">
        <v>42.199999999999903</v>
      </c>
      <c r="Y412" s="61">
        <v>5</v>
      </c>
    </row>
    <row r="413" spans="24:25" x14ac:dyDescent="0.3">
      <c r="X413">
        <v>42.299999999999898</v>
      </c>
      <c r="Y413" s="61">
        <v>5</v>
      </c>
    </row>
    <row r="414" spans="24:25" x14ac:dyDescent="0.3">
      <c r="X414">
        <v>42.399999999999899</v>
      </c>
      <c r="Y414" s="61">
        <v>5</v>
      </c>
    </row>
    <row r="415" spans="24:25" x14ac:dyDescent="0.3">
      <c r="X415">
        <v>42.499999999999901</v>
      </c>
      <c r="Y415" s="61">
        <v>5</v>
      </c>
    </row>
    <row r="416" spans="24:25" x14ac:dyDescent="0.3">
      <c r="X416">
        <v>42.599999999999902</v>
      </c>
      <c r="Y416" s="61">
        <v>5</v>
      </c>
    </row>
    <row r="417" spans="24:25" x14ac:dyDescent="0.3">
      <c r="X417">
        <v>42.699999999999903</v>
      </c>
      <c r="Y417" s="61">
        <v>5</v>
      </c>
    </row>
    <row r="418" spans="24:25" x14ac:dyDescent="0.3">
      <c r="X418">
        <v>42.799999999999898</v>
      </c>
      <c r="Y418" s="61">
        <v>5</v>
      </c>
    </row>
    <row r="419" spans="24:25" x14ac:dyDescent="0.3">
      <c r="X419">
        <v>42.899999999999899</v>
      </c>
      <c r="Y419" s="61">
        <v>5</v>
      </c>
    </row>
    <row r="420" spans="24:25" x14ac:dyDescent="0.3">
      <c r="X420">
        <v>42.999999999999901</v>
      </c>
      <c r="Y420" s="61">
        <v>5</v>
      </c>
    </row>
    <row r="421" spans="24:25" x14ac:dyDescent="0.3">
      <c r="X421">
        <v>43.099999999999902</v>
      </c>
      <c r="Y421" s="61">
        <v>5</v>
      </c>
    </row>
    <row r="422" spans="24:25" x14ac:dyDescent="0.3">
      <c r="X422">
        <v>43.199999999999903</v>
      </c>
      <c r="Y422" s="61">
        <v>5</v>
      </c>
    </row>
    <row r="423" spans="24:25" x14ac:dyDescent="0.3">
      <c r="X423">
        <v>43.299999999999898</v>
      </c>
      <c r="Y423" s="61">
        <v>5</v>
      </c>
    </row>
    <row r="424" spans="24:25" x14ac:dyDescent="0.3">
      <c r="X424">
        <v>43.399999999999899</v>
      </c>
      <c r="Y424" s="61">
        <v>5</v>
      </c>
    </row>
    <row r="425" spans="24:25" x14ac:dyDescent="0.3">
      <c r="X425">
        <v>43.499999999999901</v>
      </c>
      <c r="Y425" s="61">
        <v>5</v>
      </c>
    </row>
    <row r="426" spans="24:25" x14ac:dyDescent="0.3">
      <c r="X426">
        <v>43.599999999999902</v>
      </c>
      <c r="Y426" s="61">
        <v>5</v>
      </c>
    </row>
    <row r="427" spans="24:25" x14ac:dyDescent="0.3">
      <c r="X427">
        <v>43.699999999999903</v>
      </c>
      <c r="Y427" s="61">
        <v>5</v>
      </c>
    </row>
    <row r="428" spans="24:25" x14ac:dyDescent="0.3">
      <c r="X428">
        <v>43.799999999999898</v>
      </c>
      <c r="Y428" s="61">
        <v>5</v>
      </c>
    </row>
    <row r="429" spans="24:25" x14ac:dyDescent="0.3">
      <c r="X429">
        <v>43.899999999999899</v>
      </c>
      <c r="Y429" s="61">
        <v>5</v>
      </c>
    </row>
    <row r="430" spans="24:25" x14ac:dyDescent="0.3">
      <c r="X430">
        <v>43.999999999999901</v>
      </c>
      <c r="Y430" s="61">
        <v>5</v>
      </c>
    </row>
    <row r="431" spans="24:25" x14ac:dyDescent="0.3">
      <c r="X431">
        <v>44.099999999999902</v>
      </c>
      <c r="Y431" s="61">
        <v>5</v>
      </c>
    </row>
    <row r="432" spans="24:25" x14ac:dyDescent="0.3">
      <c r="X432">
        <v>44.199999999999903</v>
      </c>
      <c r="Y432" s="61">
        <v>5</v>
      </c>
    </row>
    <row r="433" spans="24:25" x14ac:dyDescent="0.3">
      <c r="X433">
        <v>44.299999999999898</v>
      </c>
      <c r="Y433" s="61">
        <v>5</v>
      </c>
    </row>
    <row r="434" spans="24:25" x14ac:dyDescent="0.3">
      <c r="X434">
        <v>44.399999999999899</v>
      </c>
      <c r="Y434" s="61">
        <v>5</v>
      </c>
    </row>
    <row r="435" spans="24:25" x14ac:dyDescent="0.3">
      <c r="X435">
        <v>44.499999999999901</v>
      </c>
      <c r="Y435" s="61">
        <v>5</v>
      </c>
    </row>
    <row r="436" spans="24:25" x14ac:dyDescent="0.3">
      <c r="X436">
        <v>44.599999999999902</v>
      </c>
      <c r="Y436" s="61">
        <v>5</v>
      </c>
    </row>
    <row r="437" spans="24:25" x14ac:dyDescent="0.3">
      <c r="X437">
        <v>44.699999999999903</v>
      </c>
      <c r="Y437" s="61">
        <v>5</v>
      </c>
    </row>
    <row r="438" spans="24:25" x14ac:dyDescent="0.3">
      <c r="X438">
        <v>44.799999999999898</v>
      </c>
      <c r="Y438" s="61">
        <v>5</v>
      </c>
    </row>
    <row r="439" spans="24:25" x14ac:dyDescent="0.3">
      <c r="X439">
        <v>44.899999999999899</v>
      </c>
      <c r="Y439" s="61">
        <v>5</v>
      </c>
    </row>
    <row r="440" spans="24:25" x14ac:dyDescent="0.3">
      <c r="X440">
        <v>44.999999999999901</v>
      </c>
      <c r="Y440" s="61">
        <v>5</v>
      </c>
    </row>
    <row r="441" spans="24:25" x14ac:dyDescent="0.3">
      <c r="X441">
        <v>45.099999999999902</v>
      </c>
      <c r="Y441" s="61">
        <v>5</v>
      </c>
    </row>
    <row r="442" spans="24:25" x14ac:dyDescent="0.3">
      <c r="X442">
        <v>45.199999999999903</v>
      </c>
      <c r="Y442" s="61">
        <v>5</v>
      </c>
    </row>
    <row r="443" spans="24:25" x14ac:dyDescent="0.3">
      <c r="X443">
        <v>45.299999999999898</v>
      </c>
      <c r="Y443" s="61">
        <v>5</v>
      </c>
    </row>
    <row r="444" spans="24:25" x14ac:dyDescent="0.3">
      <c r="X444">
        <v>45.399999999999899</v>
      </c>
      <c r="Y444" s="61">
        <v>5</v>
      </c>
    </row>
    <row r="445" spans="24:25" x14ac:dyDescent="0.3">
      <c r="X445">
        <v>45.499999999999901</v>
      </c>
      <c r="Y445" s="61">
        <v>5</v>
      </c>
    </row>
    <row r="446" spans="24:25" x14ac:dyDescent="0.3">
      <c r="X446">
        <v>45.599999999999902</v>
      </c>
      <c r="Y446" s="61">
        <v>5</v>
      </c>
    </row>
    <row r="447" spans="24:25" x14ac:dyDescent="0.3">
      <c r="X447">
        <v>45.699999999999903</v>
      </c>
      <c r="Y447" s="61">
        <v>5</v>
      </c>
    </row>
    <row r="448" spans="24:25" x14ac:dyDescent="0.3">
      <c r="X448">
        <v>45.799999999999898</v>
      </c>
      <c r="Y448" s="61">
        <v>5</v>
      </c>
    </row>
    <row r="449" spans="24:25" x14ac:dyDescent="0.3">
      <c r="X449">
        <v>45.899999999999899</v>
      </c>
      <c r="Y449" s="61">
        <v>5</v>
      </c>
    </row>
    <row r="450" spans="24:25" x14ac:dyDescent="0.3">
      <c r="X450">
        <v>45.999999999999901</v>
      </c>
      <c r="Y450" s="61">
        <v>5</v>
      </c>
    </row>
    <row r="451" spans="24:25" x14ac:dyDescent="0.3">
      <c r="X451">
        <v>46.099999999999902</v>
      </c>
      <c r="Y451" s="61">
        <v>5</v>
      </c>
    </row>
    <row r="452" spans="24:25" x14ac:dyDescent="0.3">
      <c r="X452">
        <v>46.199999999999903</v>
      </c>
      <c r="Y452" s="61">
        <v>5</v>
      </c>
    </row>
    <row r="453" spans="24:25" x14ac:dyDescent="0.3">
      <c r="X453">
        <v>46.299999999999898</v>
      </c>
      <c r="Y453" s="61">
        <v>5</v>
      </c>
    </row>
    <row r="454" spans="24:25" x14ac:dyDescent="0.3">
      <c r="X454">
        <v>46.399999999999899</v>
      </c>
      <c r="Y454" s="61">
        <v>5</v>
      </c>
    </row>
    <row r="455" spans="24:25" x14ac:dyDescent="0.3">
      <c r="X455">
        <v>46.499999999999901</v>
      </c>
      <c r="Y455" s="61">
        <v>5</v>
      </c>
    </row>
    <row r="456" spans="24:25" x14ac:dyDescent="0.3">
      <c r="X456">
        <v>46.599999999999902</v>
      </c>
      <c r="Y456" s="61">
        <v>5</v>
      </c>
    </row>
    <row r="457" spans="24:25" x14ac:dyDescent="0.3">
      <c r="X457">
        <v>46.699999999999903</v>
      </c>
      <c r="Y457" s="61">
        <v>5</v>
      </c>
    </row>
    <row r="458" spans="24:25" x14ac:dyDescent="0.3">
      <c r="X458">
        <v>46.799999999999898</v>
      </c>
      <c r="Y458" s="61">
        <v>5</v>
      </c>
    </row>
    <row r="459" spans="24:25" x14ac:dyDescent="0.3">
      <c r="X459">
        <v>46.899999999999899</v>
      </c>
      <c r="Y459" s="61">
        <v>5</v>
      </c>
    </row>
    <row r="460" spans="24:25" x14ac:dyDescent="0.3">
      <c r="X460">
        <v>46.999999999999901</v>
      </c>
      <c r="Y460" s="61">
        <v>5</v>
      </c>
    </row>
    <row r="461" spans="24:25" x14ac:dyDescent="0.3">
      <c r="X461">
        <v>47.099999999999902</v>
      </c>
      <c r="Y461" s="61">
        <v>5</v>
      </c>
    </row>
    <row r="462" spans="24:25" x14ac:dyDescent="0.3">
      <c r="X462">
        <v>47.199999999999903</v>
      </c>
      <c r="Y462" s="61">
        <v>5</v>
      </c>
    </row>
    <row r="463" spans="24:25" x14ac:dyDescent="0.3">
      <c r="X463">
        <v>47.299999999999898</v>
      </c>
      <c r="Y463" s="61">
        <v>5</v>
      </c>
    </row>
    <row r="464" spans="24:25" x14ac:dyDescent="0.3">
      <c r="X464">
        <v>47.399999999999899</v>
      </c>
      <c r="Y464" s="61">
        <v>5</v>
      </c>
    </row>
    <row r="465" spans="24:25" x14ac:dyDescent="0.3">
      <c r="X465">
        <v>47.499999999999901</v>
      </c>
      <c r="Y465" s="61">
        <v>5</v>
      </c>
    </row>
    <row r="466" spans="24:25" x14ac:dyDescent="0.3">
      <c r="X466">
        <v>47.599999999999902</v>
      </c>
      <c r="Y466" s="61">
        <v>5</v>
      </c>
    </row>
    <row r="467" spans="24:25" x14ac:dyDescent="0.3">
      <c r="X467">
        <v>47.699999999999903</v>
      </c>
      <c r="Y467" s="61">
        <v>5</v>
      </c>
    </row>
    <row r="468" spans="24:25" x14ac:dyDescent="0.3">
      <c r="X468">
        <v>47.799999999999898</v>
      </c>
      <c r="Y468" s="61">
        <v>5</v>
      </c>
    </row>
    <row r="469" spans="24:25" x14ac:dyDescent="0.3">
      <c r="X469">
        <v>47.899999999999899</v>
      </c>
      <c r="Y469" s="61">
        <v>5</v>
      </c>
    </row>
    <row r="470" spans="24:25" x14ac:dyDescent="0.3">
      <c r="X470">
        <v>47.999999999999901</v>
      </c>
      <c r="Y470" s="61">
        <v>5</v>
      </c>
    </row>
    <row r="471" spans="24:25" x14ac:dyDescent="0.3">
      <c r="X471">
        <v>48.099999999999902</v>
      </c>
      <c r="Y471" s="61">
        <v>5</v>
      </c>
    </row>
    <row r="472" spans="24:25" x14ac:dyDescent="0.3">
      <c r="X472">
        <v>48.199999999999903</v>
      </c>
      <c r="Y472" s="61">
        <v>5</v>
      </c>
    </row>
    <row r="473" spans="24:25" x14ac:dyDescent="0.3">
      <c r="X473">
        <v>48.299999999999898</v>
      </c>
      <c r="Y473" s="61">
        <v>5</v>
      </c>
    </row>
    <row r="474" spans="24:25" x14ac:dyDescent="0.3">
      <c r="X474">
        <v>48.399999999999899</v>
      </c>
      <c r="Y474" s="61">
        <v>5</v>
      </c>
    </row>
    <row r="475" spans="24:25" x14ac:dyDescent="0.3">
      <c r="X475">
        <v>48.499999999999901</v>
      </c>
      <c r="Y475" s="61">
        <v>5</v>
      </c>
    </row>
    <row r="476" spans="24:25" x14ac:dyDescent="0.3">
      <c r="X476">
        <v>48.599999999999902</v>
      </c>
      <c r="Y476" s="61">
        <v>5</v>
      </c>
    </row>
    <row r="477" spans="24:25" x14ac:dyDescent="0.3">
      <c r="X477">
        <v>48.699999999999903</v>
      </c>
      <c r="Y477" s="61">
        <v>5</v>
      </c>
    </row>
    <row r="478" spans="24:25" x14ac:dyDescent="0.3">
      <c r="X478">
        <v>48.799999999999898</v>
      </c>
      <c r="Y478" s="61">
        <v>5</v>
      </c>
    </row>
    <row r="479" spans="24:25" x14ac:dyDescent="0.3">
      <c r="X479">
        <v>48.899999999999899</v>
      </c>
      <c r="Y479" s="61">
        <v>5</v>
      </c>
    </row>
    <row r="480" spans="24:25" x14ac:dyDescent="0.3">
      <c r="X480">
        <v>48.999999999999901</v>
      </c>
      <c r="Y480" s="61">
        <v>5</v>
      </c>
    </row>
    <row r="481" spans="24:25" x14ac:dyDescent="0.3">
      <c r="X481">
        <v>49.099999999999902</v>
      </c>
      <c r="Y481" s="61">
        <v>5</v>
      </c>
    </row>
    <row r="482" spans="24:25" x14ac:dyDescent="0.3">
      <c r="X482">
        <v>49.199999999999903</v>
      </c>
      <c r="Y482" s="61">
        <v>5</v>
      </c>
    </row>
    <row r="483" spans="24:25" x14ac:dyDescent="0.3">
      <c r="X483">
        <v>49.299999999999898</v>
      </c>
      <c r="Y483" s="61">
        <v>5</v>
      </c>
    </row>
    <row r="484" spans="24:25" x14ac:dyDescent="0.3">
      <c r="X484">
        <v>49.399999999999899</v>
      </c>
      <c r="Y484" s="61">
        <v>5</v>
      </c>
    </row>
    <row r="485" spans="24:25" x14ac:dyDescent="0.3">
      <c r="X485">
        <v>49.499999999999901</v>
      </c>
      <c r="Y485" s="61">
        <v>5</v>
      </c>
    </row>
    <row r="486" spans="24:25" x14ac:dyDescent="0.3">
      <c r="X486">
        <v>49.599999999999902</v>
      </c>
      <c r="Y486" s="61">
        <v>5</v>
      </c>
    </row>
    <row r="487" spans="24:25" x14ac:dyDescent="0.3">
      <c r="X487">
        <v>49.699999999999903</v>
      </c>
      <c r="Y487" s="61">
        <v>5</v>
      </c>
    </row>
    <row r="488" spans="24:25" x14ac:dyDescent="0.3">
      <c r="X488">
        <v>49.799999999999898</v>
      </c>
      <c r="Y488" s="61">
        <v>5</v>
      </c>
    </row>
    <row r="489" spans="24:25" x14ac:dyDescent="0.3">
      <c r="X489">
        <v>49.899999999999899</v>
      </c>
      <c r="Y489" s="61">
        <v>5</v>
      </c>
    </row>
    <row r="490" spans="24:25" x14ac:dyDescent="0.3">
      <c r="X490">
        <v>49.999999999999901</v>
      </c>
      <c r="Y490" s="61">
        <v>5</v>
      </c>
    </row>
    <row r="491" spans="24:25" x14ac:dyDescent="0.3">
      <c r="X491">
        <v>50.099999999999902</v>
      </c>
      <c r="Y491" s="61">
        <v>5</v>
      </c>
    </row>
    <row r="492" spans="24:25" x14ac:dyDescent="0.3">
      <c r="X492">
        <v>50.199999999999903</v>
      </c>
      <c r="Y492" s="61">
        <v>5</v>
      </c>
    </row>
    <row r="493" spans="24:25" x14ac:dyDescent="0.3">
      <c r="X493">
        <v>50.299999999999898</v>
      </c>
      <c r="Y493" s="61">
        <v>5</v>
      </c>
    </row>
    <row r="494" spans="24:25" x14ac:dyDescent="0.3">
      <c r="X494">
        <v>50.399999999999899</v>
      </c>
      <c r="Y494" s="61">
        <v>5</v>
      </c>
    </row>
    <row r="495" spans="24:25" x14ac:dyDescent="0.3">
      <c r="X495">
        <v>50.499999999999901</v>
      </c>
      <c r="Y495" s="61">
        <v>5</v>
      </c>
    </row>
    <row r="496" spans="24:25" x14ac:dyDescent="0.3">
      <c r="X496">
        <v>50.599999999999902</v>
      </c>
      <c r="Y496" s="61">
        <v>5</v>
      </c>
    </row>
    <row r="497" spans="24:25" x14ac:dyDescent="0.3">
      <c r="X497">
        <v>50.699999999999903</v>
      </c>
      <c r="Y497" s="61">
        <v>5</v>
      </c>
    </row>
    <row r="498" spans="24:25" x14ac:dyDescent="0.3">
      <c r="X498">
        <v>50.799999999999898</v>
      </c>
      <c r="Y498" s="61">
        <v>5</v>
      </c>
    </row>
    <row r="499" spans="24:25" x14ac:dyDescent="0.3">
      <c r="X499">
        <v>50.899999999999899</v>
      </c>
      <c r="Y499" s="61">
        <v>5</v>
      </c>
    </row>
    <row r="500" spans="24:25" x14ac:dyDescent="0.3">
      <c r="X500">
        <v>50.999999999999901</v>
      </c>
      <c r="Y500" s="61">
        <v>5</v>
      </c>
    </row>
    <row r="501" spans="24:25" x14ac:dyDescent="0.3">
      <c r="X501">
        <v>51.099999999999902</v>
      </c>
      <c r="Y501" s="61">
        <v>5</v>
      </c>
    </row>
    <row r="502" spans="24:25" x14ac:dyDescent="0.3">
      <c r="X502">
        <v>51.199999999999903</v>
      </c>
      <c r="Y502" s="61">
        <v>5</v>
      </c>
    </row>
    <row r="503" spans="24:25" x14ac:dyDescent="0.3">
      <c r="X503">
        <v>51.299999999999898</v>
      </c>
      <c r="Y503" s="61">
        <v>5</v>
      </c>
    </row>
    <row r="504" spans="24:25" x14ac:dyDescent="0.3">
      <c r="X504">
        <v>51.399999999999899</v>
      </c>
      <c r="Y504" s="61">
        <v>5</v>
      </c>
    </row>
    <row r="505" spans="24:25" x14ac:dyDescent="0.3">
      <c r="X505">
        <v>51.499999999999901</v>
      </c>
      <c r="Y505" s="61">
        <v>5</v>
      </c>
    </row>
    <row r="506" spans="24:25" x14ac:dyDescent="0.3">
      <c r="X506">
        <v>51.599999999999902</v>
      </c>
      <c r="Y506" s="61">
        <v>5</v>
      </c>
    </row>
    <row r="507" spans="24:25" x14ac:dyDescent="0.3">
      <c r="X507">
        <v>51.699999999999903</v>
      </c>
      <c r="Y507" s="61">
        <v>5</v>
      </c>
    </row>
    <row r="508" spans="24:25" x14ac:dyDescent="0.3">
      <c r="X508">
        <v>51.799999999999898</v>
      </c>
      <c r="Y508" s="61">
        <v>5</v>
      </c>
    </row>
    <row r="509" spans="24:25" x14ac:dyDescent="0.3">
      <c r="X509">
        <v>51.899999999999899</v>
      </c>
      <c r="Y509" s="61">
        <v>5</v>
      </c>
    </row>
    <row r="510" spans="24:25" x14ac:dyDescent="0.3">
      <c r="X510">
        <v>51.999999999999901</v>
      </c>
      <c r="Y510" s="61">
        <v>5</v>
      </c>
    </row>
    <row r="511" spans="24:25" x14ac:dyDescent="0.3">
      <c r="X511">
        <v>52.099999999999902</v>
      </c>
      <c r="Y511" s="61">
        <v>5</v>
      </c>
    </row>
    <row r="512" spans="24:25" x14ac:dyDescent="0.3">
      <c r="X512">
        <v>52.199999999999903</v>
      </c>
      <c r="Y512" s="61">
        <v>5</v>
      </c>
    </row>
    <row r="513" spans="24:25" x14ac:dyDescent="0.3">
      <c r="X513">
        <v>52.299999999999898</v>
      </c>
      <c r="Y513" s="61">
        <v>5</v>
      </c>
    </row>
    <row r="514" spans="24:25" x14ac:dyDescent="0.3">
      <c r="X514">
        <v>52.399999999999899</v>
      </c>
      <c r="Y514" s="61">
        <v>5</v>
      </c>
    </row>
    <row r="515" spans="24:25" x14ac:dyDescent="0.3">
      <c r="X515">
        <v>52.499999999999901</v>
      </c>
      <c r="Y515" s="61">
        <v>5</v>
      </c>
    </row>
    <row r="516" spans="24:25" x14ac:dyDescent="0.3">
      <c r="X516">
        <v>52.599999999999902</v>
      </c>
      <c r="Y516" s="61">
        <v>5</v>
      </c>
    </row>
    <row r="517" spans="24:25" x14ac:dyDescent="0.3">
      <c r="X517">
        <v>52.699999999999903</v>
      </c>
      <c r="Y517" s="61">
        <v>5</v>
      </c>
    </row>
    <row r="518" spans="24:25" x14ac:dyDescent="0.3">
      <c r="X518">
        <v>52.799999999999898</v>
      </c>
      <c r="Y518" s="61">
        <v>5</v>
      </c>
    </row>
    <row r="519" spans="24:25" x14ac:dyDescent="0.3">
      <c r="X519">
        <v>52.899999999999899</v>
      </c>
      <c r="Y519" s="61">
        <v>5</v>
      </c>
    </row>
    <row r="520" spans="24:25" x14ac:dyDescent="0.3">
      <c r="X520">
        <v>52.999999999999901</v>
      </c>
      <c r="Y520" s="61">
        <v>5</v>
      </c>
    </row>
    <row r="521" spans="24:25" x14ac:dyDescent="0.3">
      <c r="X521">
        <v>53.099999999999902</v>
      </c>
      <c r="Y521" s="61">
        <v>5</v>
      </c>
    </row>
    <row r="522" spans="24:25" x14ac:dyDescent="0.3">
      <c r="X522">
        <v>53.199999999999903</v>
      </c>
      <c r="Y522" s="61">
        <v>5</v>
      </c>
    </row>
    <row r="523" spans="24:25" x14ac:dyDescent="0.3">
      <c r="X523">
        <v>53.299999999999898</v>
      </c>
      <c r="Y523" s="61">
        <v>5</v>
      </c>
    </row>
    <row r="524" spans="24:25" x14ac:dyDescent="0.3">
      <c r="X524">
        <v>53.399999999999899</v>
      </c>
      <c r="Y524" s="61">
        <v>5</v>
      </c>
    </row>
    <row r="525" spans="24:25" x14ac:dyDescent="0.3">
      <c r="X525">
        <v>53.499999999999901</v>
      </c>
      <c r="Y525" s="61">
        <v>5</v>
      </c>
    </row>
    <row r="526" spans="24:25" x14ac:dyDescent="0.3">
      <c r="X526">
        <v>53.599999999999902</v>
      </c>
      <c r="Y526" s="61">
        <v>5</v>
      </c>
    </row>
    <row r="527" spans="24:25" x14ac:dyDescent="0.3">
      <c r="X527">
        <v>53.699999999999903</v>
      </c>
      <c r="Y527" s="61">
        <v>5</v>
      </c>
    </row>
    <row r="528" spans="24:25" x14ac:dyDescent="0.3">
      <c r="X528">
        <v>53.799999999999898</v>
      </c>
      <c r="Y528" s="61">
        <v>5</v>
      </c>
    </row>
    <row r="529" spans="24:25" x14ac:dyDescent="0.3">
      <c r="X529">
        <v>53.899999999999899</v>
      </c>
      <c r="Y529" s="61">
        <v>5</v>
      </c>
    </row>
    <row r="530" spans="24:25" x14ac:dyDescent="0.3">
      <c r="X530">
        <v>53.999999999999901</v>
      </c>
      <c r="Y530" s="61">
        <v>5</v>
      </c>
    </row>
    <row r="531" spans="24:25" x14ac:dyDescent="0.3">
      <c r="X531">
        <v>54.099999999999902</v>
      </c>
      <c r="Y531" s="61">
        <v>5</v>
      </c>
    </row>
    <row r="532" spans="24:25" x14ac:dyDescent="0.3">
      <c r="X532">
        <v>54.199999999999903</v>
      </c>
      <c r="Y532" s="61">
        <v>5</v>
      </c>
    </row>
    <row r="533" spans="24:25" x14ac:dyDescent="0.3">
      <c r="X533">
        <v>54.299999999999898</v>
      </c>
      <c r="Y533" s="61">
        <v>5</v>
      </c>
    </row>
    <row r="534" spans="24:25" x14ac:dyDescent="0.3">
      <c r="X534">
        <v>54.399999999999899</v>
      </c>
      <c r="Y534" s="61">
        <v>5</v>
      </c>
    </row>
    <row r="535" spans="24:25" x14ac:dyDescent="0.3">
      <c r="X535">
        <v>54.499999999999901</v>
      </c>
      <c r="Y535" s="61">
        <v>5</v>
      </c>
    </row>
    <row r="536" spans="24:25" x14ac:dyDescent="0.3">
      <c r="X536">
        <v>54.599999999999902</v>
      </c>
      <c r="Y536" s="61">
        <v>5</v>
      </c>
    </row>
    <row r="537" spans="24:25" x14ac:dyDescent="0.3">
      <c r="X537">
        <v>54.699999999999903</v>
      </c>
      <c r="Y537" s="61">
        <v>5</v>
      </c>
    </row>
    <row r="538" spans="24:25" x14ac:dyDescent="0.3">
      <c r="X538">
        <v>54.799999999999898</v>
      </c>
      <c r="Y538" s="61">
        <v>5</v>
      </c>
    </row>
    <row r="539" spans="24:25" x14ac:dyDescent="0.3">
      <c r="X539">
        <v>54.899999999999899</v>
      </c>
      <c r="Y539" s="61">
        <v>5</v>
      </c>
    </row>
    <row r="540" spans="24:25" x14ac:dyDescent="0.3">
      <c r="X540">
        <v>54.999999999999901</v>
      </c>
      <c r="Y540" s="61">
        <v>5</v>
      </c>
    </row>
    <row r="541" spans="24:25" x14ac:dyDescent="0.3">
      <c r="X541">
        <v>55.099999999999902</v>
      </c>
      <c r="Y541" s="61">
        <v>5</v>
      </c>
    </row>
    <row r="542" spans="24:25" x14ac:dyDescent="0.3">
      <c r="X542">
        <v>55.199999999999903</v>
      </c>
      <c r="Y542" s="61">
        <v>5</v>
      </c>
    </row>
    <row r="543" spans="24:25" x14ac:dyDescent="0.3">
      <c r="X543">
        <v>55.299999999999898</v>
      </c>
      <c r="Y543" s="61">
        <v>5</v>
      </c>
    </row>
    <row r="544" spans="24:25" x14ac:dyDescent="0.3">
      <c r="X544">
        <v>55.399999999999899</v>
      </c>
      <c r="Y544" s="61">
        <v>5</v>
      </c>
    </row>
    <row r="545" spans="24:25" x14ac:dyDescent="0.3">
      <c r="X545">
        <v>55.499999999999901</v>
      </c>
      <c r="Y545" s="61">
        <v>5</v>
      </c>
    </row>
    <row r="546" spans="24:25" x14ac:dyDescent="0.3">
      <c r="X546">
        <v>55.599999999999902</v>
      </c>
      <c r="Y546" s="61">
        <v>5</v>
      </c>
    </row>
    <row r="547" spans="24:25" x14ac:dyDescent="0.3">
      <c r="X547">
        <v>55.699999999999903</v>
      </c>
      <c r="Y547" s="61">
        <v>5</v>
      </c>
    </row>
    <row r="548" spans="24:25" x14ac:dyDescent="0.3">
      <c r="X548">
        <v>55.799999999999898</v>
      </c>
      <c r="Y548" s="61">
        <v>5</v>
      </c>
    </row>
    <row r="549" spans="24:25" x14ac:dyDescent="0.3">
      <c r="X549">
        <v>55.899999999999899</v>
      </c>
      <c r="Y549" s="61">
        <v>5</v>
      </c>
    </row>
    <row r="550" spans="24:25" x14ac:dyDescent="0.3">
      <c r="X550">
        <v>55.999999999999901</v>
      </c>
      <c r="Y550" s="61">
        <v>5</v>
      </c>
    </row>
    <row r="551" spans="24:25" x14ac:dyDescent="0.3">
      <c r="X551">
        <v>56.099999999999902</v>
      </c>
      <c r="Y551" s="61">
        <v>5</v>
      </c>
    </row>
    <row r="552" spans="24:25" x14ac:dyDescent="0.3">
      <c r="X552">
        <v>56.199999999999903</v>
      </c>
      <c r="Y552" s="61">
        <v>5</v>
      </c>
    </row>
    <row r="553" spans="24:25" x14ac:dyDescent="0.3">
      <c r="X553">
        <v>56.299999999999898</v>
      </c>
      <c r="Y553" s="61">
        <v>5</v>
      </c>
    </row>
    <row r="554" spans="24:25" x14ac:dyDescent="0.3">
      <c r="X554">
        <v>56.399999999999899</v>
      </c>
      <c r="Y554" s="61">
        <v>5</v>
      </c>
    </row>
    <row r="555" spans="24:25" x14ac:dyDescent="0.3">
      <c r="X555">
        <v>56.499999999999901</v>
      </c>
      <c r="Y555" s="61">
        <v>5</v>
      </c>
    </row>
    <row r="556" spans="24:25" x14ac:dyDescent="0.3">
      <c r="X556">
        <v>56.599999999999902</v>
      </c>
      <c r="Y556" s="61">
        <v>5</v>
      </c>
    </row>
    <row r="557" spans="24:25" x14ac:dyDescent="0.3">
      <c r="X557">
        <v>56.699999999999903</v>
      </c>
      <c r="Y557" s="61">
        <v>5</v>
      </c>
    </row>
    <row r="558" spans="24:25" x14ac:dyDescent="0.3">
      <c r="X558">
        <v>56.799999999999898</v>
      </c>
      <c r="Y558" s="61">
        <v>5</v>
      </c>
    </row>
    <row r="559" spans="24:25" x14ac:dyDescent="0.3">
      <c r="X559">
        <v>56.899999999999899</v>
      </c>
      <c r="Y559" s="61">
        <v>5</v>
      </c>
    </row>
    <row r="560" spans="24:25" x14ac:dyDescent="0.3">
      <c r="X560">
        <v>56.999999999999901</v>
      </c>
      <c r="Y560" s="61">
        <v>5</v>
      </c>
    </row>
    <row r="561" spans="24:25" x14ac:dyDescent="0.3">
      <c r="X561">
        <v>57.099999999999902</v>
      </c>
      <c r="Y561" s="61">
        <v>5</v>
      </c>
    </row>
    <row r="562" spans="24:25" x14ac:dyDescent="0.3">
      <c r="X562">
        <v>57.199999999999903</v>
      </c>
      <c r="Y562" s="61">
        <v>5</v>
      </c>
    </row>
    <row r="563" spans="24:25" x14ac:dyDescent="0.3">
      <c r="X563">
        <v>57.299999999999898</v>
      </c>
      <c r="Y563" s="61">
        <v>5</v>
      </c>
    </row>
    <row r="564" spans="24:25" x14ac:dyDescent="0.3">
      <c r="X564">
        <v>57.399999999999899</v>
      </c>
      <c r="Y564" s="61">
        <v>5</v>
      </c>
    </row>
    <row r="565" spans="24:25" x14ac:dyDescent="0.3">
      <c r="X565">
        <v>57.499999999999901</v>
      </c>
      <c r="Y565" s="61">
        <v>5</v>
      </c>
    </row>
    <row r="566" spans="24:25" x14ac:dyDescent="0.3">
      <c r="X566">
        <v>57.599999999999902</v>
      </c>
      <c r="Y566" s="61">
        <v>5</v>
      </c>
    </row>
    <row r="567" spans="24:25" x14ac:dyDescent="0.3">
      <c r="X567">
        <v>57.699999999999903</v>
      </c>
      <c r="Y567" s="61">
        <v>5</v>
      </c>
    </row>
    <row r="568" spans="24:25" x14ac:dyDescent="0.3">
      <c r="X568">
        <v>57.799999999999898</v>
      </c>
      <c r="Y568" s="61">
        <v>5</v>
      </c>
    </row>
    <row r="569" spans="24:25" x14ac:dyDescent="0.3">
      <c r="X569">
        <v>57.899999999999899</v>
      </c>
      <c r="Y569" s="61">
        <v>5</v>
      </c>
    </row>
    <row r="570" spans="24:25" x14ac:dyDescent="0.3">
      <c r="X570">
        <v>57.999999999999901</v>
      </c>
      <c r="Y570" s="61">
        <v>5</v>
      </c>
    </row>
    <row r="571" spans="24:25" x14ac:dyDescent="0.3">
      <c r="X571">
        <v>58.099999999999902</v>
      </c>
      <c r="Y571" s="61">
        <v>5</v>
      </c>
    </row>
    <row r="572" spans="24:25" x14ac:dyDescent="0.3">
      <c r="X572">
        <v>58.199999999999903</v>
      </c>
      <c r="Y572" s="61">
        <v>5</v>
      </c>
    </row>
    <row r="573" spans="24:25" x14ac:dyDescent="0.3">
      <c r="X573">
        <v>58.299999999999898</v>
      </c>
      <c r="Y573" s="61">
        <v>5</v>
      </c>
    </row>
    <row r="574" spans="24:25" x14ac:dyDescent="0.3">
      <c r="X574">
        <v>58.399999999999899</v>
      </c>
      <c r="Y574" s="61">
        <v>5</v>
      </c>
    </row>
    <row r="575" spans="24:25" x14ac:dyDescent="0.3">
      <c r="X575">
        <v>58.499999999999901</v>
      </c>
      <c r="Y575" s="61">
        <v>5</v>
      </c>
    </row>
    <row r="576" spans="24:25" x14ac:dyDescent="0.3">
      <c r="X576">
        <v>58.599999999999902</v>
      </c>
      <c r="Y576" s="61">
        <v>5</v>
      </c>
    </row>
    <row r="577" spans="24:25" x14ac:dyDescent="0.3">
      <c r="X577">
        <v>58.699999999999903</v>
      </c>
      <c r="Y577" s="61">
        <v>5</v>
      </c>
    </row>
    <row r="578" spans="24:25" x14ac:dyDescent="0.3">
      <c r="X578">
        <v>58.799999999999898</v>
      </c>
      <c r="Y578" s="61">
        <v>5</v>
      </c>
    </row>
    <row r="579" spans="24:25" x14ac:dyDescent="0.3">
      <c r="X579">
        <v>58.899999999999899</v>
      </c>
      <c r="Y579" s="61">
        <v>5</v>
      </c>
    </row>
    <row r="580" spans="24:25" x14ac:dyDescent="0.3">
      <c r="X580">
        <v>58.999999999999901</v>
      </c>
      <c r="Y580" s="61">
        <v>5</v>
      </c>
    </row>
    <row r="581" spans="24:25" x14ac:dyDescent="0.3">
      <c r="X581">
        <v>59.099999999999902</v>
      </c>
      <c r="Y581" s="61">
        <v>5</v>
      </c>
    </row>
    <row r="582" spans="24:25" x14ac:dyDescent="0.3">
      <c r="X582">
        <v>59.199999999999903</v>
      </c>
      <c r="Y582" s="61">
        <v>5</v>
      </c>
    </row>
    <row r="583" spans="24:25" x14ac:dyDescent="0.3">
      <c r="X583">
        <v>59.299999999999898</v>
      </c>
      <c r="Y583" s="61">
        <v>5</v>
      </c>
    </row>
    <row r="584" spans="24:25" x14ac:dyDescent="0.3">
      <c r="X584">
        <v>59.399999999999899</v>
      </c>
      <c r="Y584" s="61">
        <v>5</v>
      </c>
    </row>
    <row r="585" spans="24:25" x14ac:dyDescent="0.3">
      <c r="X585">
        <v>59.499999999999901</v>
      </c>
      <c r="Y585" s="61">
        <v>5</v>
      </c>
    </row>
    <row r="586" spans="24:25" x14ac:dyDescent="0.3">
      <c r="X586">
        <v>59.599999999999902</v>
      </c>
      <c r="Y586" s="61">
        <v>5</v>
      </c>
    </row>
    <row r="587" spans="24:25" x14ac:dyDescent="0.3">
      <c r="X587">
        <v>59.699999999999903</v>
      </c>
      <c r="Y587" s="61">
        <v>5</v>
      </c>
    </row>
    <row r="588" spans="24:25" x14ac:dyDescent="0.3">
      <c r="X588">
        <v>59.799999999999898</v>
      </c>
      <c r="Y588" s="61">
        <v>5</v>
      </c>
    </row>
    <row r="589" spans="24:25" x14ac:dyDescent="0.3">
      <c r="X589">
        <v>59.899999999999899</v>
      </c>
      <c r="Y589" s="61">
        <v>5</v>
      </c>
    </row>
    <row r="590" spans="24:25" x14ac:dyDescent="0.3">
      <c r="X590">
        <v>59.999999999999901</v>
      </c>
      <c r="Y590" s="61">
        <v>5</v>
      </c>
    </row>
    <row r="591" spans="24:25" x14ac:dyDescent="0.3">
      <c r="X591">
        <v>60.099999999999902</v>
      </c>
      <c r="Y591" s="61">
        <v>5</v>
      </c>
    </row>
    <row r="592" spans="24:25" x14ac:dyDescent="0.3">
      <c r="X592">
        <v>60.199999999999903</v>
      </c>
      <c r="Y592" s="61">
        <v>5</v>
      </c>
    </row>
    <row r="593" spans="24:25" x14ac:dyDescent="0.3">
      <c r="X593">
        <v>60.299999999999898</v>
      </c>
      <c r="Y593" s="61">
        <v>5</v>
      </c>
    </row>
    <row r="594" spans="24:25" x14ac:dyDescent="0.3">
      <c r="X594">
        <v>60.399999999999899</v>
      </c>
      <c r="Y594" s="61">
        <v>5</v>
      </c>
    </row>
    <row r="595" spans="24:25" x14ac:dyDescent="0.3">
      <c r="X595">
        <v>60.499999999999901</v>
      </c>
      <c r="Y595" s="61">
        <v>5</v>
      </c>
    </row>
    <row r="596" spans="24:25" x14ac:dyDescent="0.3">
      <c r="X596">
        <v>60.599999999999902</v>
      </c>
      <c r="Y596" s="61">
        <v>5</v>
      </c>
    </row>
    <row r="597" spans="24:25" x14ac:dyDescent="0.3">
      <c r="X597">
        <v>60.699999999999903</v>
      </c>
      <c r="Y597" s="61">
        <v>5</v>
      </c>
    </row>
    <row r="598" spans="24:25" x14ac:dyDescent="0.3">
      <c r="X598">
        <v>60.799999999999898</v>
      </c>
      <c r="Y598" s="61">
        <v>5</v>
      </c>
    </row>
    <row r="599" spans="24:25" x14ac:dyDescent="0.3">
      <c r="X599">
        <v>60.899999999999899</v>
      </c>
      <c r="Y599" s="61">
        <v>5</v>
      </c>
    </row>
    <row r="600" spans="24:25" x14ac:dyDescent="0.3">
      <c r="X600">
        <v>60.999999999999901</v>
      </c>
      <c r="Y600" s="61">
        <v>5</v>
      </c>
    </row>
    <row r="601" spans="24:25" x14ac:dyDescent="0.3">
      <c r="X601">
        <v>61.099999999999902</v>
      </c>
      <c r="Y601" s="61">
        <v>5</v>
      </c>
    </row>
    <row r="602" spans="24:25" x14ac:dyDescent="0.3">
      <c r="X602">
        <v>61.199999999999903</v>
      </c>
      <c r="Y602" s="61">
        <v>5</v>
      </c>
    </row>
    <row r="603" spans="24:25" x14ac:dyDescent="0.3">
      <c r="X603">
        <v>61.299999999999898</v>
      </c>
      <c r="Y603" s="61">
        <v>5</v>
      </c>
    </row>
    <row r="604" spans="24:25" x14ac:dyDescent="0.3">
      <c r="X604">
        <v>61.399999999999899</v>
      </c>
      <c r="Y604" s="61">
        <v>5</v>
      </c>
    </row>
    <row r="605" spans="24:25" x14ac:dyDescent="0.3">
      <c r="X605">
        <v>61.499999999999901</v>
      </c>
      <c r="Y605" s="61">
        <v>5</v>
      </c>
    </row>
    <row r="606" spans="24:25" x14ac:dyDescent="0.3">
      <c r="X606">
        <v>61.599999999999902</v>
      </c>
      <c r="Y606" s="61">
        <v>5</v>
      </c>
    </row>
    <row r="607" spans="24:25" x14ac:dyDescent="0.3">
      <c r="X607">
        <v>61.699999999999903</v>
      </c>
      <c r="Y607" s="61">
        <v>5</v>
      </c>
    </row>
    <row r="608" spans="24:25" x14ac:dyDescent="0.3">
      <c r="X608">
        <v>61.799999999999898</v>
      </c>
      <c r="Y608" s="61">
        <v>5</v>
      </c>
    </row>
    <row r="609" spans="24:25" x14ac:dyDescent="0.3">
      <c r="X609">
        <v>61.899999999999899</v>
      </c>
      <c r="Y609" s="61">
        <v>5</v>
      </c>
    </row>
    <row r="610" spans="24:25" x14ac:dyDescent="0.3">
      <c r="X610">
        <v>61.999999999999901</v>
      </c>
      <c r="Y610" s="61">
        <v>5</v>
      </c>
    </row>
    <row r="611" spans="24:25" x14ac:dyDescent="0.3">
      <c r="X611">
        <v>62.099999999999902</v>
      </c>
      <c r="Y611" s="61">
        <v>5</v>
      </c>
    </row>
    <row r="612" spans="24:25" x14ac:dyDescent="0.3">
      <c r="X612">
        <v>62.199999999999903</v>
      </c>
      <c r="Y612" s="61">
        <v>5</v>
      </c>
    </row>
    <row r="613" spans="24:25" x14ac:dyDescent="0.3">
      <c r="X613">
        <v>62.299999999999898</v>
      </c>
      <c r="Y613" s="61">
        <v>5</v>
      </c>
    </row>
    <row r="614" spans="24:25" x14ac:dyDescent="0.3">
      <c r="X614">
        <v>62.399999999999899</v>
      </c>
      <c r="Y614" s="61">
        <v>5</v>
      </c>
    </row>
    <row r="615" spans="24:25" x14ac:dyDescent="0.3">
      <c r="X615">
        <v>62.499999999999901</v>
      </c>
      <c r="Y615" s="61">
        <v>5</v>
      </c>
    </row>
    <row r="616" spans="24:25" x14ac:dyDescent="0.3">
      <c r="X616">
        <v>62.599999999999902</v>
      </c>
      <c r="Y616" s="61">
        <v>5</v>
      </c>
    </row>
    <row r="617" spans="24:25" x14ac:dyDescent="0.3">
      <c r="X617">
        <v>62.699999999999903</v>
      </c>
      <c r="Y617" s="61">
        <v>5</v>
      </c>
    </row>
    <row r="618" spans="24:25" x14ac:dyDescent="0.3">
      <c r="X618">
        <v>62.799999999999898</v>
      </c>
      <c r="Y618" s="61">
        <v>5</v>
      </c>
    </row>
    <row r="619" spans="24:25" x14ac:dyDescent="0.3">
      <c r="X619">
        <v>62.899999999999899</v>
      </c>
      <c r="Y619" s="61">
        <v>5</v>
      </c>
    </row>
    <row r="620" spans="24:25" x14ac:dyDescent="0.3">
      <c r="X620">
        <v>62.999999999999901</v>
      </c>
      <c r="Y620" s="61">
        <v>5</v>
      </c>
    </row>
    <row r="621" spans="24:25" x14ac:dyDescent="0.3">
      <c r="X621">
        <v>63.099999999999902</v>
      </c>
      <c r="Y621" s="61">
        <v>5</v>
      </c>
    </row>
    <row r="622" spans="24:25" x14ac:dyDescent="0.3">
      <c r="X622">
        <v>63.199999999999903</v>
      </c>
      <c r="Y622" s="61">
        <v>5</v>
      </c>
    </row>
    <row r="623" spans="24:25" x14ac:dyDescent="0.3">
      <c r="X623">
        <v>63.299999999999898</v>
      </c>
      <c r="Y623" s="61">
        <v>5</v>
      </c>
    </row>
    <row r="624" spans="24:25" x14ac:dyDescent="0.3">
      <c r="X624">
        <v>63.399999999999899</v>
      </c>
      <c r="Y624" s="61">
        <v>5</v>
      </c>
    </row>
    <row r="625" spans="24:25" x14ac:dyDescent="0.3">
      <c r="X625">
        <v>63.499999999999901</v>
      </c>
      <c r="Y625" s="61">
        <v>5</v>
      </c>
    </row>
    <row r="626" spans="24:25" x14ac:dyDescent="0.3">
      <c r="X626">
        <v>63.599999999999902</v>
      </c>
      <c r="Y626" s="61">
        <v>5</v>
      </c>
    </row>
    <row r="627" spans="24:25" x14ac:dyDescent="0.3">
      <c r="X627">
        <v>63.699999999999903</v>
      </c>
      <c r="Y627" s="61">
        <v>5</v>
      </c>
    </row>
    <row r="628" spans="24:25" x14ac:dyDescent="0.3">
      <c r="X628">
        <v>63.799999999999898</v>
      </c>
      <c r="Y628" s="61">
        <v>5</v>
      </c>
    </row>
    <row r="629" spans="24:25" x14ac:dyDescent="0.3">
      <c r="X629">
        <v>63.899999999999899</v>
      </c>
      <c r="Y629" s="61">
        <v>5</v>
      </c>
    </row>
    <row r="630" spans="24:25" x14ac:dyDescent="0.3">
      <c r="X630">
        <v>63.999999999999901</v>
      </c>
      <c r="Y630" s="61">
        <v>5</v>
      </c>
    </row>
    <row r="631" spans="24:25" x14ac:dyDescent="0.3">
      <c r="X631">
        <v>64.099999999999895</v>
      </c>
      <c r="Y631" s="61">
        <v>5</v>
      </c>
    </row>
    <row r="632" spans="24:25" x14ac:dyDescent="0.3">
      <c r="X632">
        <v>64.199999999999903</v>
      </c>
      <c r="Y632" s="61">
        <v>5</v>
      </c>
    </row>
    <row r="633" spans="24:25" x14ac:dyDescent="0.3">
      <c r="X633">
        <v>64.299999999999898</v>
      </c>
      <c r="Y633" s="61">
        <v>5</v>
      </c>
    </row>
    <row r="634" spans="24:25" x14ac:dyDescent="0.3">
      <c r="X634">
        <v>64.399999999999906</v>
      </c>
      <c r="Y634" s="61">
        <v>5</v>
      </c>
    </row>
    <row r="635" spans="24:25" x14ac:dyDescent="0.3">
      <c r="X635">
        <v>64.499999999999901</v>
      </c>
      <c r="Y635" s="61">
        <v>5</v>
      </c>
    </row>
    <row r="636" spans="24:25" x14ac:dyDescent="0.3">
      <c r="X636">
        <v>64.599999999999895</v>
      </c>
      <c r="Y636" s="61">
        <v>5</v>
      </c>
    </row>
    <row r="637" spans="24:25" x14ac:dyDescent="0.3">
      <c r="X637">
        <v>64.699999999999903</v>
      </c>
      <c r="Y637" s="61">
        <v>5</v>
      </c>
    </row>
    <row r="638" spans="24:25" x14ac:dyDescent="0.3">
      <c r="X638">
        <v>64.799999999999898</v>
      </c>
      <c r="Y638" s="61">
        <v>5</v>
      </c>
    </row>
    <row r="639" spans="24:25" x14ac:dyDescent="0.3">
      <c r="X639">
        <v>64.899999999999906</v>
      </c>
      <c r="Y639" s="61">
        <v>5</v>
      </c>
    </row>
    <row r="640" spans="24:25" x14ac:dyDescent="0.3">
      <c r="X640">
        <v>64.999999999999901</v>
      </c>
      <c r="Y640" s="61">
        <v>5</v>
      </c>
    </row>
    <row r="641" spans="24:25" x14ac:dyDescent="0.3">
      <c r="X641">
        <v>65.099999999999895</v>
      </c>
      <c r="Y641" s="61">
        <v>5</v>
      </c>
    </row>
    <row r="642" spans="24:25" x14ac:dyDescent="0.3">
      <c r="X642">
        <v>65.199999999999903</v>
      </c>
      <c r="Y642" s="61">
        <v>5</v>
      </c>
    </row>
    <row r="643" spans="24:25" x14ac:dyDescent="0.3">
      <c r="X643">
        <v>65.299999999999898</v>
      </c>
      <c r="Y643" s="61">
        <v>5</v>
      </c>
    </row>
    <row r="644" spans="24:25" x14ac:dyDescent="0.3">
      <c r="X644">
        <v>65.399999999999906</v>
      </c>
      <c r="Y644" s="61">
        <v>5</v>
      </c>
    </row>
    <row r="645" spans="24:25" x14ac:dyDescent="0.3">
      <c r="X645">
        <v>65.499999999999901</v>
      </c>
      <c r="Y645" s="61">
        <v>5</v>
      </c>
    </row>
    <row r="646" spans="24:25" x14ac:dyDescent="0.3">
      <c r="X646">
        <v>65.599999999999895</v>
      </c>
      <c r="Y646" s="61">
        <v>5</v>
      </c>
    </row>
    <row r="647" spans="24:25" x14ac:dyDescent="0.3">
      <c r="X647">
        <v>65.699999999999903</v>
      </c>
      <c r="Y647" s="61">
        <v>5</v>
      </c>
    </row>
    <row r="648" spans="24:25" x14ac:dyDescent="0.3">
      <c r="X648">
        <v>65.799999999999898</v>
      </c>
      <c r="Y648" s="61">
        <v>5</v>
      </c>
    </row>
    <row r="649" spans="24:25" x14ac:dyDescent="0.3">
      <c r="X649">
        <v>65.899999999999906</v>
      </c>
      <c r="Y649" s="61">
        <v>5</v>
      </c>
    </row>
    <row r="650" spans="24:25" x14ac:dyDescent="0.3">
      <c r="X650">
        <v>65.999999999999901</v>
      </c>
      <c r="Y650" s="61">
        <v>5</v>
      </c>
    </row>
    <row r="651" spans="24:25" x14ac:dyDescent="0.3">
      <c r="X651">
        <v>66.099999999999895</v>
      </c>
      <c r="Y651" s="61">
        <v>5</v>
      </c>
    </row>
    <row r="652" spans="24:25" x14ac:dyDescent="0.3">
      <c r="X652">
        <v>66.199999999999903</v>
      </c>
      <c r="Y652" s="61">
        <v>5</v>
      </c>
    </row>
    <row r="653" spans="24:25" x14ac:dyDescent="0.3">
      <c r="X653">
        <v>66.299999999999898</v>
      </c>
      <c r="Y653" s="61">
        <v>5</v>
      </c>
    </row>
    <row r="654" spans="24:25" x14ac:dyDescent="0.3">
      <c r="X654">
        <v>66.399999999999906</v>
      </c>
      <c r="Y654" s="61">
        <v>5</v>
      </c>
    </row>
    <row r="655" spans="24:25" x14ac:dyDescent="0.3">
      <c r="X655">
        <v>66.499999999999901</v>
      </c>
      <c r="Y655" s="61">
        <v>5</v>
      </c>
    </row>
    <row r="656" spans="24:25" x14ac:dyDescent="0.3">
      <c r="X656">
        <v>66.599999999999895</v>
      </c>
      <c r="Y656" s="61">
        <v>5</v>
      </c>
    </row>
    <row r="657" spans="24:25" x14ac:dyDescent="0.3">
      <c r="X657">
        <v>66.699999999999903</v>
      </c>
      <c r="Y657" s="61">
        <v>5</v>
      </c>
    </row>
    <row r="658" spans="24:25" x14ac:dyDescent="0.3">
      <c r="X658">
        <v>66.799999999999898</v>
      </c>
      <c r="Y658" s="61">
        <v>5</v>
      </c>
    </row>
    <row r="659" spans="24:25" x14ac:dyDescent="0.3">
      <c r="X659">
        <v>66.899999999999906</v>
      </c>
      <c r="Y659" s="61">
        <v>5</v>
      </c>
    </row>
    <row r="660" spans="24:25" x14ac:dyDescent="0.3">
      <c r="X660">
        <v>66.999999999999901</v>
      </c>
      <c r="Y660" s="61">
        <v>5</v>
      </c>
    </row>
    <row r="661" spans="24:25" x14ac:dyDescent="0.3">
      <c r="X661">
        <v>67.099999999999895</v>
      </c>
      <c r="Y661" s="61">
        <v>5</v>
      </c>
    </row>
    <row r="662" spans="24:25" x14ac:dyDescent="0.3">
      <c r="X662">
        <v>67.199999999999903</v>
      </c>
      <c r="Y662" s="61">
        <v>5</v>
      </c>
    </row>
    <row r="663" spans="24:25" x14ac:dyDescent="0.3">
      <c r="X663">
        <v>67.299999999999898</v>
      </c>
      <c r="Y663" s="61">
        <v>5</v>
      </c>
    </row>
    <row r="664" spans="24:25" x14ac:dyDescent="0.3">
      <c r="X664">
        <v>67.399999999999906</v>
      </c>
      <c r="Y664" s="61">
        <v>5</v>
      </c>
    </row>
    <row r="665" spans="24:25" x14ac:dyDescent="0.3">
      <c r="X665">
        <v>67.499999999999901</v>
      </c>
      <c r="Y665" s="61">
        <v>5</v>
      </c>
    </row>
    <row r="666" spans="24:25" x14ac:dyDescent="0.3">
      <c r="X666">
        <v>67.599999999999895</v>
      </c>
      <c r="Y666" s="61">
        <v>5</v>
      </c>
    </row>
    <row r="667" spans="24:25" x14ac:dyDescent="0.3">
      <c r="X667">
        <v>67.699999999999903</v>
      </c>
      <c r="Y667" s="61">
        <v>5</v>
      </c>
    </row>
    <row r="668" spans="24:25" x14ac:dyDescent="0.3">
      <c r="X668">
        <v>67.799999999999898</v>
      </c>
      <c r="Y668" s="61">
        <v>5</v>
      </c>
    </row>
    <row r="669" spans="24:25" x14ac:dyDescent="0.3">
      <c r="X669">
        <v>67.899999999999906</v>
      </c>
      <c r="Y669" s="61">
        <v>5</v>
      </c>
    </row>
    <row r="670" spans="24:25" x14ac:dyDescent="0.3">
      <c r="X670">
        <v>67.999999999999901</v>
      </c>
      <c r="Y670" s="61">
        <v>5</v>
      </c>
    </row>
    <row r="671" spans="24:25" x14ac:dyDescent="0.3">
      <c r="X671">
        <v>68.099999999999895</v>
      </c>
      <c r="Y671" s="61">
        <v>5</v>
      </c>
    </row>
    <row r="672" spans="24:25" x14ac:dyDescent="0.3">
      <c r="X672">
        <v>68.199999999999903</v>
      </c>
      <c r="Y672" s="61">
        <v>5</v>
      </c>
    </row>
    <row r="673" spans="24:25" x14ac:dyDescent="0.3">
      <c r="X673">
        <v>68.299999999999898</v>
      </c>
      <c r="Y673" s="61">
        <v>5</v>
      </c>
    </row>
    <row r="674" spans="24:25" x14ac:dyDescent="0.3">
      <c r="X674">
        <v>68.399999999999906</v>
      </c>
      <c r="Y674" s="61">
        <v>5</v>
      </c>
    </row>
    <row r="675" spans="24:25" x14ac:dyDescent="0.3">
      <c r="X675">
        <v>68.499999999999901</v>
      </c>
      <c r="Y675" s="61">
        <v>5</v>
      </c>
    </row>
    <row r="676" spans="24:25" x14ac:dyDescent="0.3">
      <c r="X676">
        <v>68.599999999999895</v>
      </c>
      <c r="Y676" s="61">
        <v>5</v>
      </c>
    </row>
    <row r="677" spans="24:25" x14ac:dyDescent="0.3">
      <c r="X677">
        <v>68.699999999999903</v>
      </c>
      <c r="Y677" s="61">
        <v>5</v>
      </c>
    </row>
    <row r="678" spans="24:25" x14ac:dyDescent="0.3">
      <c r="X678">
        <v>68.799999999999898</v>
      </c>
      <c r="Y678" s="61">
        <v>5</v>
      </c>
    </row>
    <row r="679" spans="24:25" x14ac:dyDescent="0.3">
      <c r="X679">
        <v>68.899999999999906</v>
      </c>
      <c r="Y679" s="61">
        <v>5</v>
      </c>
    </row>
    <row r="680" spans="24:25" x14ac:dyDescent="0.3">
      <c r="X680">
        <v>68.999999999999901</v>
      </c>
      <c r="Y680" s="61">
        <v>5</v>
      </c>
    </row>
    <row r="681" spans="24:25" x14ac:dyDescent="0.3">
      <c r="X681">
        <v>69.099999999999895</v>
      </c>
      <c r="Y681" s="61">
        <v>5</v>
      </c>
    </row>
    <row r="682" spans="24:25" x14ac:dyDescent="0.3">
      <c r="X682">
        <v>69.199999999999903</v>
      </c>
      <c r="Y682" s="61">
        <v>5</v>
      </c>
    </row>
    <row r="683" spans="24:25" x14ac:dyDescent="0.3">
      <c r="X683">
        <v>69.299999999999898</v>
      </c>
      <c r="Y683" s="61">
        <v>5</v>
      </c>
    </row>
    <row r="684" spans="24:25" x14ac:dyDescent="0.3">
      <c r="X684">
        <v>69.399999999999906</v>
      </c>
      <c r="Y684" s="61">
        <v>5</v>
      </c>
    </row>
    <row r="685" spans="24:25" x14ac:dyDescent="0.3">
      <c r="X685">
        <v>69.499999999999901</v>
      </c>
      <c r="Y685" s="61">
        <v>5</v>
      </c>
    </row>
    <row r="686" spans="24:25" x14ac:dyDescent="0.3">
      <c r="X686">
        <v>69.599999999999895</v>
      </c>
      <c r="Y686" s="61">
        <v>5</v>
      </c>
    </row>
    <row r="687" spans="24:25" x14ac:dyDescent="0.3">
      <c r="X687">
        <v>69.699999999999903</v>
      </c>
      <c r="Y687" s="61">
        <v>5</v>
      </c>
    </row>
    <row r="688" spans="24:25" x14ac:dyDescent="0.3">
      <c r="X688">
        <v>69.799999999999898</v>
      </c>
      <c r="Y688" s="61">
        <v>5</v>
      </c>
    </row>
    <row r="689" spans="24:25" x14ac:dyDescent="0.3">
      <c r="X689">
        <v>69.899999999999906</v>
      </c>
      <c r="Y689" s="61">
        <v>5</v>
      </c>
    </row>
    <row r="690" spans="24:25" x14ac:dyDescent="0.3">
      <c r="X690">
        <v>69.999999999999901</v>
      </c>
      <c r="Y690" s="61">
        <v>5</v>
      </c>
    </row>
    <row r="691" spans="24:25" x14ac:dyDescent="0.3">
      <c r="X691">
        <v>70.099999999999895</v>
      </c>
      <c r="Y691" s="61">
        <v>5</v>
      </c>
    </row>
    <row r="692" spans="24:25" x14ac:dyDescent="0.3">
      <c r="X692">
        <v>70.199999999999903</v>
      </c>
      <c r="Y692" s="61">
        <v>5</v>
      </c>
    </row>
    <row r="693" spans="24:25" x14ac:dyDescent="0.3">
      <c r="X693">
        <v>70.299999999999898</v>
      </c>
      <c r="Y693" s="61">
        <v>5</v>
      </c>
    </row>
    <row r="694" spans="24:25" x14ac:dyDescent="0.3">
      <c r="X694">
        <v>70.399999999999906</v>
      </c>
      <c r="Y694" s="61">
        <v>5</v>
      </c>
    </row>
    <row r="695" spans="24:25" x14ac:dyDescent="0.3">
      <c r="X695">
        <v>70.499999999999901</v>
      </c>
      <c r="Y695" s="61">
        <v>5</v>
      </c>
    </row>
    <row r="696" spans="24:25" x14ac:dyDescent="0.3">
      <c r="X696">
        <v>70.599999999999895</v>
      </c>
      <c r="Y696" s="61">
        <v>5</v>
      </c>
    </row>
    <row r="697" spans="24:25" x14ac:dyDescent="0.3">
      <c r="X697">
        <v>70.699999999999903</v>
      </c>
      <c r="Y697" s="61">
        <v>5</v>
      </c>
    </row>
    <row r="698" spans="24:25" x14ac:dyDescent="0.3">
      <c r="X698">
        <v>70.799999999999898</v>
      </c>
      <c r="Y698" s="61">
        <v>5</v>
      </c>
    </row>
    <row r="699" spans="24:25" x14ac:dyDescent="0.3">
      <c r="X699">
        <v>70.899999999999906</v>
      </c>
      <c r="Y699" s="61">
        <v>5</v>
      </c>
    </row>
    <row r="700" spans="24:25" x14ac:dyDescent="0.3">
      <c r="X700">
        <v>70.999999999999901</v>
      </c>
      <c r="Y700" s="61">
        <v>5</v>
      </c>
    </row>
    <row r="701" spans="24:25" x14ac:dyDescent="0.3">
      <c r="X701">
        <v>71.099999999999895</v>
      </c>
      <c r="Y701" s="61">
        <v>5</v>
      </c>
    </row>
    <row r="702" spans="24:25" x14ac:dyDescent="0.3">
      <c r="X702">
        <v>71.199999999999903</v>
      </c>
      <c r="Y702" s="61">
        <v>5</v>
      </c>
    </row>
    <row r="703" spans="24:25" x14ac:dyDescent="0.3">
      <c r="X703">
        <v>71.299999999999898</v>
      </c>
      <c r="Y703" s="61">
        <v>5</v>
      </c>
    </row>
    <row r="704" spans="24:25" x14ac:dyDescent="0.3">
      <c r="X704">
        <v>71.399999999999906</v>
      </c>
      <c r="Y704" s="61">
        <v>5</v>
      </c>
    </row>
    <row r="705" spans="24:25" x14ac:dyDescent="0.3">
      <c r="X705">
        <v>71.499999999999901</v>
      </c>
      <c r="Y705" s="61">
        <v>5</v>
      </c>
    </row>
    <row r="706" spans="24:25" x14ac:dyDescent="0.3">
      <c r="X706">
        <v>71.599999999999895</v>
      </c>
      <c r="Y706" s="61">
        <v>5</v>
      </c>
    </row>
    <row r="707" spans="24:25" x14ac:dyDescent="0.3">
      <c r="X707">
        <v>71.699999999999903</v>
      </c>
      <c r="Y707" s="61">
        <v>5</v>
      </c>
    </row>
    <row r="708" spans="24:25" x14ac:dyDescent="0.3">
      <c r="X708">
        <v>71.799999999999898</v>
      </c>
      <c r="Y708" s="61">
        <v>5</v>
      </c>
    </row>
    <row r="709" spans="24:25" x14ac:dyDescent="0.3">
      <c r="X709">
        <v>71.899999999999906</v>
      </c>
      <c r="Y709" s="61">
        <v>5</v>
      </c>
    </row>
    <row r="710" spans="24:25" x14ac:dyDescent="0.3">
      <c r="X710">
        <v>71.999999999999901</v>
      </c>
      <c r="Y710" s="61">
        <v>5</v>
      </c>
    </row>
    <row r="711" spans="24:25" x14ac:dyDescent="0.3">
      <c r="X711">
        <v>72.099999999999895</v>
      </c>
      <c r="Y711" s="61">
        <v>5</v>
      </c>
    </row>
    <row r="712" spans="24:25" x14ac:dyDescent="0.3">
      <c r="X712">
        <v>72.199999999999903</v>
      </c>
      <c r="Y712" s="61">
        <v>5</v>
      </c>
    </row>
    <row r="713" spans="24:25" x14ac:dyDescent="0.3">
      <c r="X713">
        <v>72.299999999999898</v>
      </c>
      <c r="Y713" s="61">
        <v>5</v>
      </c>
    </row>
    <row r="714" spans="24:25" x14ac:dyDescent="0.3">
      <c r="X714">
        <v>72.399999999999906</v>
      </c>
      <c r="Y714" s="61">
        <v>5</v>
      </c>
    </row>
    <row r="715" spans="24:25" x14ac:dyDescent="0.3">
      <c r="X715">
        <v>72.499999999999901</v>
      </c>
      <c r="Y715" s="61">
        <v>5</v>
      </c>
    </row>
    <row r="716" spans="24:25" x14ac:dyDescent="0.3">
      <c r="X716">
        <v>72.599999999999895</v>
      </c>
      <c r="Y716" s="61">
        <v>5</v>
      </c>
    </row>
    <row r="717" spans="24:25" x14ac:dyDescent="0.3">
      <c r="X717">
        <v>72.699999999999903</v>
      </c>
      <c r="Y717" s="61">
        <v>5</v>
      </c>
    </row>
    <row r="718" spans="24:25" x14ac:dyDescent="0.3">
      <c r="X718">
        <v>72.799999999999898</v>
      </c>
      <c r="Y718" s="61">
        <v>5</v>
      </c>
    </row>
    <row r="719" spans="24:25" x14ac:dyDescent="0.3">
      <c r="X719">
        <v>72.899999999999906</v>
      </c>
      <c r="Y719" s="61">
        <v>5</v>
      </c>
    </row>
    <row r="720" spans="24:25" x14ac:dyDescent="0.3">
      <c r="X720">
        <v>72.999999999999901</v>
      </c>
      <c r="Y720" s="61">
        <v>5</v>
      </c>
    </row>
    <row r="721" spans="24:25" x14ac:dyDescent="0.3">
      <c r="X721">
        <v>73.099999999999895</v>
      </c>
      <c r="Y721" s="61">
        <v>5</v>
      </c>
    </row>
    <row r="722" spans="24:25" x14ac:dyDescent="0.3">
      <c r="X722">
        <v>73.199999999999903</v>
      </c>
      <c r="Y722" s="61">
        <v>5</v>
      </c>
    </row>
    <row r="723" spans="24:25" x14ac:dyDescent="0.3">
      <c r="X723">
        <v>73.299999999999898</v>
      </c>
      <c r="Y723" s="61">
        <v>5</v>
      </c>
    </row>
    <row r="724" spans="24:25" x14ac:dyDescent="0.3">
      <c r="X724">
        <v>73.399999999999906</v>
      </c>
      <c r="Y724" s="61">
        <v>5</v>
      </c>
    </row>
    <row r="725" spans="24:25" x14ac:dyDescent="0.3">
      <c r="X725">
        <v>73.499999999999901</v>
      </c>
      <c r="Y725" s="61">
        <v>5</v>
      </c>
    </row>
    <row r="726" spans="24:25" x14ac:dyDescent="0.3">
      <c r="X726">
        <v>73.599999999999895</v>
      </c>
      <c r="Y726" s="61">
        <v>5</v>
      </c>
    </row>
    <row r="727" spans="24:25" x14ac:dyDescent="0.3">
      <c r="X727">
        <v>73.699999999999903</v>
      </c>
      <c r="Y727" s="61">
        <v>5</v>
      </c>
    </row>
    <row r="728" spans="24:25" x14ac:dyDescent="0.3">
      <c r="X728">
        <v>73.799999999999898</v>
      </c>
      <c r="Y728" s="61">
        <v>5</v>
      </c>
    </row>
    <row r="729" spans="24:25" x14ac:dyDescent="0.3">
      <c r="X729">
        <v>73.899999999999906</v>
      </c>
      <c r="Y729" s="61">
        <v>5</v>
      </c>
    </row>
    <row r="730" spans="24:25" x14ac:dyDescent="0.3">
      <c r="X730">
        <v>73.999999999999901</v>
      </c>
      <c r="Y730" s="61">
        <v>5</v>
      </c>
    </row>
    <row r="731" spans="24:25" x14ac:dyDescent="0.3">
      <c r="X731">
        <v>74.099999999999895</v>
      </c>
      <c r="Y731" s="61">
        <v>5</v>
      </c>
    </row>
    <row r="732" spans="24:25" x14ac:dyDescent="0.3">
      <c r="X732">
        <v>74.199999999999903</v>
      </c>
      <c r="Y732" s="61">
        <v>5</v>
      </c>
    </row>
    <row r="733" spans="24:25" x14ac:dyDescent="0.3">
      <c r="X733">
        <v>74.299999999999898</v>
      </c>
      <c r="Y733" s="61">
        <v>5</v>
      </c>
    </row>
    <row r="734" spans="24:25" x14ac:dyDescent="0.3">
      <c r="X734">
        <v>74.399999999999906</v>
      </c>
      <c r="Y734" s="61">
        <v>5</v>
      </c>
    </row>
    <row r="735" spans="24:25" x14ac:dyDescent="0.3">
      <c r="X735">
        <v>74.499999999999901</v>
      </c>
      <c r="Y735" s="61">
        <v>3</v>
      </c>
    </row>
    <row r="736" spans="24:25" x14ac:dyDescent="0.3">
      <c r="X736">
        <v>74.599999999999895</v>
      </c>
      <c r="Y736" s="61">
        <v>3</v>
      </c>
    </row>
    <row r="737" spans="24:25" x14ac:dyDescent="0.3">
      <c r="X737">
        <v>74.699999999999903</v>
      </c>
      <c r="Y737" s="61">
        <v>3</v>
      </c>
    </row>
    <row r="738" spans="24:25" x14ac:dyDescent="0.3">
      <c r="X738">
        <v>74.799999999999898</v>
      </c>
      <c r="Y738" s="61">
        <v>3</v>
      </c>
    </row>
    <row r="739" spans="24:25" x14ac:dyDescent="0.3">
      <c r="X739">
        <v>74.899999999999906</v>
      </c>
      <c r="Y739" s="61">
        <v>3</v>
      </c>
    </row>
    <row r="740" spans="24:25" x14ac:dyDescent="0.3">
      <c r="X740">
        <v>74.999999999999901</v>
      </c>
      <c r="Y740" s="61">
        <v>3</v>
      </c>
    </row>
    <row r="741" spans="24:25" x14ac:dyDescent="0.3">
      <c r="X741">
        <v>75.099999999999895</v>
      </c>
      <c r="Y741" s="61">
        <v>3</v>
      </c>
    </row>
    <row r="742" spans="24:25" x14ac:dyDescent="0.3">
      <c r="X742">
        <v>75.199999999999903</v>
      </c>
      <c r="Y742" s="61">
        <v>3</v>
      </c>
    </row>
    <row r="743" spans="24:25" x14ac:dyDescent="0.3">
      <c r="X743">
        <v>75.299999999999898</v>
      </c>
      <c r="Y743" s="61">
        <v>3</v>
      </c>
    </row>
    <row r="744" spans="24:25" x14ac:dyDescent="0.3">
      <c r="X744">
        <v>75.399999999999906</v>
      </c>
      <c r="Y744" s="61">
        <v>3</v>
      </c>
    </row>
    <row r="745" spans="24:25" x14ac:dyDescent="0.3">
      <c r="X745">
        <v>75.499999999999901</v>
      </c>
      <c r="Y745" s="61">
        <v>3</v>
      </c>
    </row>
    <row r="746" spans="24:25" x14ac:dyDescent="0.3">
      <c r="X746">
        <v>75.599999999999895</v>
      </c>
      <c r="Y746" s="61">
        <v>3</v>
      </c>
    </row>
    <row r="747" spans="24:25" x14ac:dyDescent="0.3">
      <c r="X747">
        <v>75.699999999999903</v>
      </c>
      <c r="Y747" s="61">
        <v>3</v>
      </c>
    </row>
    <row r="748" spans="24:25" x14ac:dyDescent="0.3">
      <c r="X748">
        <v>75.799999999999898</v>
      </c>
      <c r="Y748" s="61">
        <v>3</v>
      </c>
    </row>
    <row r="749" spans="24:25" x14ac:dyDescent="0.3">
      <c r="X749">
        <v>75.899999999999906</v>
      </c>
      <c r="Y749" s="61">
        <v>3</v>
      </c>
    </row>
    <row r="750" spans="24:25" x14ac:dyDescent="0.3">
      <c r="X750">
        <v>75.999999999999901</v>
      </c>
      <c r="Y750" s="61">
        <v>3</v>
      </c>
    </row>
    <row r="751" spans="24:25" x14ac:dyDescent="0.3">
      <c r="X751">
        <v>76.099999999999895</v>
      </c>
      <c r="Y751" s="61">
        <v>3</v>
      </c>
    </row>
    <row r="752" spans="24:25" x14ac:dyDescent="0.3">
      <c r="X752">
        <v>76.199999999999903</v>
      </c>
      <c r="Y752" s="61">
        <v>3</v>
      </c>
    </row>
    <row r="753" spans="24:25" x14ac:dyDescent="0.3">
      <c r="X753">
        <v>76.299999999999898</v>
      </c>
      <c r="Y753" s="61">
        <v>3</v>
      </c>
    </row>
    <row r="754" spans="24:25" x14ac:dyDescent="0.3">
      <c r="X754">
        <v>76.399999999999906</v>
      </c>
      <c r="Y754" s="61">
        <v>3</v>
      </c>
    </row>
    <row r="755" spans="24:25" x14ac:dyDescent="0.3">
      <c r="X755">
        <v>76.499999999999901</v>
      </c>
      <c r="Y755" s="61">
        <v>2.75</v>
      </c>
    </row>
    <row r="756" spans="24:25" x14ac:dyDescent="0.3">
      <c r="X756">
        <v>76.599999999999895</v>
      </c>
      <c r="Y756" s="61">
        <v>2.75</v>
      </c>
    </row>
    <row r="757" spans="24:25" x14ac:dyDescent="0.3">
      <c r="X757">
        <v>76.699999999999903</v>
      </c>
      <c r="Y757" s="61">
        <v>2.75</v>
      </c>
    </row>
    <row r="758" spans="24:25" x14ac:dyDescent="0.3">
      <c r="X758">
        <v>76.799999999999898</v>
      </c>
      <c r="Y758" s="61">
        <v>2.75</v>
      </c>
    </row>
    <row r="759" spans="24:25" x14ac:dyDescent="0.3">
      <c r="X759">
        <v>76.899999999999906</v>
      </c>
      <c r="Y759" s="61">
        <v>2.75</v>
      </c>
    </row>
    <row r="760" spans="24:25" x14ac:dyDescent="0.3">
      <c r="X760">
        <v>76.999999999999901</v>
      </c>
      <c r="Y760" s="61">
        <v>2.75</v>
      </c>
    </row>
    <row r="761" spans="24:25" x14ac:dyDescent="0.3">
      <c r="X761">
        <v>77.099999999999895</v>
      </c>
      <c r="Y761" s="61">
        <v>2.75</v>
      </c>
    </row>
    <row r="762" spans="24:25" x14ac:dyDescent="0.3">
      <c r="X762">
        <v>77.199999999999903</v>
      </c>
      <c r="Y762" s="61">
        <v>2.75</v>
      </c>
    </row>
    <row r="763" spans="24:25" x14ac:dyDescent="0.3">
      <c r="X763">
        <v>77.299999999999898</v>
      </c>
      <c r="Y763" s="61">
        <v>2.75</v>
      </c>
    </row>
    <row r="764" spans="24:25" x14ac:dyDescent="0.3">
      <c r="X764">
        <v>77.399999999999906</v>
      </c>
      <c r="Y764" s="61">
        <v>2.75</v>
      </c>
    </row>
    <row r="765" spans="24:25" x14ac:dyDescent="0.3">
      <c r="X765">
        <v>77.499999999999901</v>
      </c>
      <c r="Y765" s="61">
        <v>2.75</v>
      </c>
    </row>
    <row r="766" spans="24:25" x14ac:dyDescent="0.3">
      <c r="X766">
        <v>77.599999999999895</v>
      </c>
      <c r="Y766" s="61">
        <v>2.75</v>
      </c>
    </row>
    <row r="767" spans="24:25" x14ac:dyDescent="0.3">
      <c r="X767">
        <v>77.699999999999903</v>
      </c>
      <c r="Y767" s="61">
        <v>2.75</v>
      </c>
    </row>
    <row r="768" spans="24:25" x14ac:dyDescent="0.3">
      <c r="X768">
        <v>77.799999999999898</v>
      </c>
      <c r="Y768" s="61">
        <v>2.75</v>
      </c>
    </row>
    <row r="769" spans="24:25" x14ac:dyDescent="0.3">
      <c r="X769">
        <v>77.899999999999906</v>
      </c>
      <c r="Y769" s="61">
        <v>2.75</v>
      </c>
    </row>
    <row r="770" spans="24:25" x14ac:dyDescent="0.3">
      <c r="X770">
        <v>77.999999999999901</v>
      </c>
      <c r="Y770" s="61">
        <v>2.75</v>
      </c>
    </row>
    <row r="771" spans="24:25" x14ac:dyDescent="0.3">
      <c r="X771">
        <v>78.099999999999895</v>
      </c>
      <c r="Y771" s="61">
        <v>2.75</v>
      </c>
    </row>
    <row r="772" spans="24:25" x14ac:dyDescent="0.3">
      <c r="X772">
        <v>78.199999999999903</v>
      </c>
      <c r="Y772" s="61">
        <v>2.75</v>
      </c>
    </row>
    <row r="773" spans="24:25" x14ac:dyDescent="0.3">
      <c r="X773">
        <v>78.299999999999898</v>
      </c>
      <c r="Y773" s="61">
        <v>2.75</v>
      </c>
    </row>
    <row r="774" spans="24:25" x14ac:dyDescent="0.3">
      <c r="X774">
        <v>78.399999999999906</v>
      </c>
      <c r="Y774" s="61">
        <v>2.75</v>
      </c>
    </row>
    <row r="775" spans="24:25" x14ac:dyDescent="0.3">
      <c r="X775">
        <v>78.499999999999901</v>
      </c>
      <c r="Y775" s="61">
        <v>2.75</v>
      </c>
    </row>
    <row r="776" spans="24:25" x14ac:dyDescent="0.3">
      <c r="X776">
        <v>78.599999999999895</v>
      </c>
      <c r="Y776" s="61">
        <v>2.75</v>
      </c>
    </row>
    <row r="777" spans="24:25" x14ac:dyDescent="0.3">
      <c r="X777">
        <v>78.699999999999903</v>
      </c>
      <c r="Y777" s="61">
        <v>2.75</v>
      </c>
    </row>
    <row r="778" spans="24:25" x14ac:dyDescent="0.3">
      <c r="X778">
        <v>78.799999999999898</v>
      </c>
      <c r="Y778" s="61">
        <v>2.75</v>
      </c>
    </row>
    <row r="779" spans="24:25" x14ac:dyDescent="0.3">
      <c r="X779">
        <v>78.899999999999906</v>
      </c>
      <c r="Y779" s="61">
        <v>2.75</v>
      </c>
    </row>
    <row r="780" spans="24:25" x14ac:dyDescent="0.3">
      <c r="X780">
        <v>78.999999999999901</v>
      </c>
      <c r="Y780" s="61">
        <v>2.75</v>
      </c>
    </row>
    <row r="781" spans="24:25" x14ac:dyDescent="0.3">
      <c r="X781">
        <v>79.099999999999895</v>
      </c>
      <c r="Y781" s="61">
        <v>2.75</v>
      </c>
    </row>
    <row r="782" spans="24:25" x14ac:dyDescent="0.3">
      <c r="X782">
        <v>79.199999999999903</v>
      </c>
      <c r="Y782" s="61">
        <v>2.75</v>
      </c>
    </row>
    <row r="783" spans="24:25" x14ac:dyDescent="0.3">
      <c r="X783">
        <v>79.299999999999898</v>
      </c>
      <c r="Y783" s="61">
        <v>2.75</v>
      </c>
    </row>
    <row r="784" spans="24:25" x14ac:dyDescent="0.3">
      <c r="X784">
        <v>79.399999999999906</v>
      </c>
      <c r="Y784" s="61">
        <v>2.75</v>
      </c>
    </row>
    <row r="785" spans="24:25" x14ac:dyDescent="0.3">
      <c r="X785">
        <v>79.499999999999901</v>
      </c>
      <c r="Y785" s="61">
        <v>2.5</v>
      </c>
    </row>
    <row r="786" spans="24:25" x14ac:dyDescent="0.3">
      <c r="X786">
        <v>79.599999999999895</v>
      </c>
      <c r="Y786" s="61">
        <v>2.5</v>
      </c>
    </row>
    <row r="787" spans="24:25" x14ac:dyDescent="0.3">
      <c r="X787">
        <v>79.699999999999903</v>
      </c>
      <c r="Y787" s="61">
        <v>2.5</v>
      </c>
    </row>
    <row r="788" spans="24:25" x14ac:dyDescent="0.3">
      <c r="X788">
        <v>79.799999999999898</v>
      </c>
      <c r="Y788" s="61">
        <v>2.5</v>
      </c>
    </row>
    <row r="789" spans="24:25" x14ac:dyDescent="0.3">
      <c r="X789">
        <v>79.899999999999906</v>
      </c>
      <c r="Y789" s="61">
        <v>2.5</v>
      </c>
    </row>
    <row r="790" spans="24:25" x14ac:dyDescent="0.3">
      <c r="X790">
        <v>79.999999999999901</v>
      </c>
      <c r="Y790" s="61">
        <v>2.5</v>
      </c>
    </row>
    <row r="791" spans="24:25" x14ac:dyDescent="0.3">
      <c r="X791">
        <v>80.099999999999895</v>
      </c>
      <c r="Y791" s="61">
        <v>2.5</v>
      </c>
    </row>
    <row r="792" spans="24:25" x14ac:dyDescent="0.3">
      <c r="X792">
        <v>80.199999999999903</v>
      </c>
      <c r="Y792" s="61">
        <v>2.5</v>
      </c>
    </row>
    <row r="793" spans="24:25" x14ac:dyDescent="0.3">
      <c r="X793">
        <v>80.299999999999898</v>
      </c>
      <c r="Y793" s="61">
        <v>2.5</v>
      </c>
    </row>
    <row r="794" spans="24:25" x14ac:dyDescent="0.3">
      <c r="X794">
        <v>80.399999999999906</v>
      </c>
      <c r="Y794" s="61">
        <v>2.5</v>
      </c>
    </row>
    <row r="795" spans="24:25" x14ac:dyDescent="0.3">
      <c r="X795">
        <v>80.499999999999901</v>
      </c>
      <c r="Y795" s="61">
        <v>2.5</v>
      </c>
    </row>
    <row r="796" spans="24:25" x14ac:dyDescent="0.3">
      <c r="X796">
        <v>80.599999999999895</v>
      </c>
      <c r="Y796" s="61">
        <v>2.5</v>
      </c>
    </row>
    <row r="797" spans="24:25" x14ac:dyDescent="0.3">
      <c r="X797">
        <v>80.699999999999903</v>
      </c>
      <c r="Y797" s="61">
        <v>2.5</v>
      </c>
    </row>
    <row r="798" spans="24:25" x14ac:dyDescent="0.3">
      <c r="X798">
        <v>80.799999999999898</v>
      </c>
      <c r="Y798" s="61">
        <v>2.5</v>
      </c>
    </row>
    <row r="799" spans="24:25" x14ac:dyDescent="0.3">
      <c r="X799">
        <v>80.899999999999906</v>
      </c>
      <c r="Y799" s="61">
        <v>2.5</v>
      </c>
    </row>
    <row r="800" spans="24:25" x14ac:dyDescent="0.3">
      <c r="X800">
        <v>80.999999999999901</v>
      </c>
      <c r="Y800" s="61">
        <v>2.5</v>
      </c>
    </row>
    <row r="801" spans="24:25" x14ac:dyDescent="0.3">
      <c r="X801">
        <v>81.099999999999895</v>
      </c>
      <c r="Y801" s="61">
        <v>2.5</v>
      </c>
    </row>
    <row r="802" spans="24:25" x14ac:dyDescent="0.3">
      <c r="X802">
        <v>81.199999999999903</v>
      </c>
      <c r="Y802" s="61">
        <v>2.5</v>
      </c>
    </row>
    <row r="803" spans="24:25" x14ac:dyDescent="0.3">
      <c r="X803">
        <v>81.299999999999898</v>
      </c>
      <c r="Y803" s="61">
        <v>2.5</v>
      </c>
    </row>
    <row r="804" spans="24:25" x14ac:dyDescent="0.3">
      <c r="X804">
        <v>81.399999999999906</v>
      </c>
      <c r="Y804" s="61">
        <v>2.5</v>
      </c>
    </row>
    <row r="805" spans="24:25" x14ac:dyDescent="0.3">
      <c r="X805">
        <v>81.499999999999901</v>
      </c>
      <c r="Y805" s="61">
        <v>2.5</v>
      </c>
    </row>
    <row r="806" spans="24:25" x14ac:dyDescent="0.3">
      <c r="X806">
        <v>81.599999999999895</v>
      </c>
      <c r="Y806" s="61">
        <v>2.5</v>
      </c>
    </row>
    <row r="807" spans="24:25" x14ac:dyDescent="0.3">
      <c r="X807">
        <v>81.699999999999903</v>
      </c>
      <c r="Y807" s="61">
        <v>2.5</v>
      </c>
    </row>
    <row r="808" spans="24:25" x14ac:dyDescent="0.3">
      <c r="X808">
        <v>81.799999999999898</v>
      </c>
      <c r="Y808" s="61">
        <v>2.5</v>
      </c>
    </row>
    <row r="809" spans="24:25" x14ac:dyDescent="0.3">
      <c r="X809">
        <v>81.899999999999906</v>
      </c>
      <c r="Y809" s="61">
        <v>2.5</v>
      </c>
    </row>
    <row r="810" spans="24:25" x14ac:dyDescent="0.3">
      <c r="X810">
        <v>81.999999999999901</v>
      </c>
      <c r="Y810" s="61">
        <v>2.5</v>
      </c>
    </row>
    <row r="811" spans="24:25" x14ac:dyDescent="0.3">
      <c r="X811">
        <v>82.099999999999895</v>
      </c>
      <c r="Y811" s="61">
        <v>2.5</v>
      </c>
    </row>
    <row r="812" spans="24:25" x14ac:dyDescent="0.3">
      <c r="X812">
        <v>82.199999999999903</v>
      </c>
      <c r="Y812" s="61">
        <v>2.5</v>
      </c>
    </row>
    <row r="813" spans="24:25" x14ac:dyDescent="0.3">
      <c r="X813">
        <v>82.299999999999898</v>
      </c>
      <c r="Y813" s="61">
        <v>2.5</v>
      </c>
    </row>
    <row r="814" spans="24:25" x14ac:dyDescent="0.3">
      <c r="X814">
        <v>82.399999999999906</v>
      </c>
      <c r="Y814" s="61">
        <v>2.5</v>
      </c>
    </row>
    <row r="815" spans="24:25" x14ac:dyDescent="0.3">
      <c r="X815">
        <v>82.499999999999901</v>
      </c>
      <c r="Y815" s="61">
        <v>2.25</v>
      </c>
    </row>
    <row r="816" spans="24:25" x14ac:dyDescent="0.3">
      <c r="X816">
        <v>82.599999999999895</v>
      </c>
      <c r="Y816" s="61">
        <v>2.25</v>
      </c>
    </row>
    <row r="817" spans="24:25" x14ac:dyDescent="0.3">
      <c r="X817">
        <v>82.699999999999903</v>
      </c>
      <c r="Y817" s="61">
        <v>2.25</v>
      </c>
    </row>
    <row r="818" spans="24:25" x14ac:dyDescent="0.3">
      <c r="X818">
        <v>82.799999999999898</v>
      </c>
      <c r="Y818" s="61">
        <v>2.25</v>
      </c>
    </row>
    <row r="819" spans="24:25" x14ac:dyDescent="0.3">
      <c r="X819">
        <v>82.899999999999906</v>
      </c>
      <c r="Y819" s="61">
        <v>2.25</v>
      </c>
    </row>
    <row r="820" spans="24:25" x14ac:dyDescent="0.3">
      <c r="X820">
        <v>82.999999999999901</v>
      </c>
      <c r="Y820" s="61">
        <v>2.25</v>
      </c>
    </row>
    <row r="821" spans="24:25" x14ac:dyDescent="0.3">
      <c r="X821">
        <v>83.099999999999895</v>
      </c>
      <c r="Y821" s="61">
        <v>2.25</v>
      </c>
    </row>
    <row r="822" spans="24:25" x14ac:dyDescent="0.3">
      <c r="X822">
        <v>83.199999999999903</v>
      </c>
      <c r="Y822" s="61">
        <v>2.25</v>
      </c>
    </row>
    <row r="823" spans="24:25" x14ac:dyDescent="0.3">
      <c r="X823">
        <v>83.299999999999898</v>
      </c>
      <c r="Y823" s="61">
        <v>2.25</v>
      </c>
    </row>
    <row r="824" spans="24:25" x14ac:dyDescent="0.3">
      <c r="X824">
        <v>83.399999999999906</v>
      </c>
      <c r="Y824" s="61">
        <v>2.25</v>
      </c>
    </row>
    <row r="825" spans="24:25" x14ac:dyDescent="0.3">
      <c r="X825">
        <v>83.499999999999901</v>
      </c>
      <c r="Y825" s="61">
        <v>2.25</v>
      </c>
    </row>
    <row r="826" spans="24:25" x14ac:dyDescent="0.3">
      <c r="X826">
        <v>83.599999999999895</v>
      </c>
      <c r="Y826" s="61">
        <v>2.25</v>
      </c>
    </row>
    <row r="827" spans="24:25" x14ac:dyDescent="0.3">
      <c r="X827">
        <v>83.699999999999903</v>
      </c>
      <c r="Y827" s="61">
        <v>2.25</v>
      </c>
    </row>
    <row r="828" spans="24:25" x14ac:dyDescent="0.3">
      <c r="X828">
        <v>83.799999999999898</v>
      </c>
      <c r="Y828" s="61">
        <v>2.25</v>
      </c>
    </row>
    <row r="829" spans="24:25" x14ac:dyDescent="0.3">
      <c r="X829">
        <v>83.899999999999906</v>
      </c>
      <c r="Y829" s="61">
        <v>2.25</v>
      </c>
    </row>
    <row r="830" spans="24:25" x14ac:dyDescent="0.3">
      <c r="X830">
        <v>83.999999999999901</v>
      </c>
      <c r="Y830" s="61">
        <v>2.25</v>
      </c>
    </row>
    <row r="831" spans="24:25" x14ac:dyDescent="0.3">
      <c r="X831">
        <v>84.099999999999895</v>
      </c>
      <c r="Y831" s="61">
        <v>2.25</v>
      </c>
    </row>
    <row r="832" spans="24:25" x14ac:dyDescent="0.3">
      <c r="X832">
        <v>84.199999999999903</v>
      </c>
      <c r="Y832" s="61">
        <v>2.25</v>
      </c>
    </row>
    <row r="833" spans="24:25" x14ac:dyDescent="0.3">
      <c r="X833">
        <v>84.299999999999898</v>
      </c>
      <c r="Y833" s="61">
        <v>2.25</v>
      </c>
    </row>
    <row r="834" spans="24:25" x14ac:dyDescent="0.3">
      <c r="X834">
        <v>84.399999999999906</v>
      </c>
      <c r="Y834" s="61">
        <v>2.25</v>
      </c>
    </row>
    <row r="835" spans="24:25" x14ac:dyDescent="0.3">
      <c r="X835">
        <v>84.499999999999901</v>
      </c>
      <c r="Y835" s="61">
        <v>2.25</v>
      </c>
    </row>
    <row r="836" spans="24:25" x14ac:dyDescent="0.3">
      <c r="X836">
        <v>84.599999999999895</v>
      </c>
      <c r="Y836" s="61">
        <v>2.25</v>
      </c>
    </row>
    <row r="837" spans="24:25" x14ac:dyDescent="0.3">
      <c r="X837">
        <v>84.699999999999903</v>
      </c>
      <c r="Y837" s="61">
        <v>2.25</v>
      </c>
    </row>
    <row r="838" spans="24:25" x14ac:dyDescent="0.3">
      <c r="X838">
        <v>84.799999999999898</v>
      </c>
      <c r="Y838" s="61">
        <v>2.25</v>
      </c>
    </row>
    <row r="839" spans="24:25" x14ac:dyDescent="0.3">
      <c r="X839">
        <v>84.899999999999906</v>
      </c>
      <c r="Y839" s="61">
        <v>2.25</v>
      </c>
    </row>
    <row r="840" spans="24:25" x14ac:dyDescent="0.3">
      <c r="X840">
        <v>84.999999999999901</v>
      </c>
      <c r="Y840" s="61">
        <v>2.25</v>
      </c>
    </row>
    <row r="841" spans="24:25" x14ac:dyDescent="0.3">
      <c r="X841">
        <v>85.099999999999895</v>
      </c>
      <c r="Y841" s="61">
        <v>2.25</v>
      </c>
    </row>
    <row r="842" spans="24:25" x14ac:dyDescent="0.3">
      <c r="X842">
        <v>85.199999999999903</v>
      </c>
      <c r="Y842" s="61">
        <v>2.25</v>
      </c>
    </row>
    <row r="843" spans="24:25" x14ac:dyDescent="0.3">
      <c r="X843">
        <v>85.299999999999898</v>
      </c>
      <c r="Y843" s="61">
        <v>2.25</v>
      </c>
    </row>
    <row r="844" spans="24:25" x14ac:dyDescent="0.3">
      <c r="X844">
        <v>85.399999999999906</v>
      </c>
      <c r="Y844" s="61">
        <v>2.25</v>
      </c>
    </row>
    <row r="845" spans="24:25" x14ac:dyDescent="0.3">
      <c r="X845">
        <v>85.499999999999901</v>
      </c>
      <c r="Y845" s="61">
        <v>2</v>
      </c>
    </row>
    <row r="846" spans="24:25" x14ac:dyDescent="0.3">
      <c r="X846">
        <v>85.599999999999895</v>
      </c>
      <c r="Y846" s="61">
        <v>2</v>
      </c>
    </row>
    <row r="847" spans="24:25" x14ac:dyDescent="0.3">
      <c r="X847">
        <v>85.699999999999903</v>
      </c>
      <c r="Y847" s="61">
        <v>2</v>
      </c>
    </row>
    <row r="848" spans="24:25" x14ac:dyDescent="0.3">
      <c r="X848">
        <v>85.799999999999898</v>
      </c>
      <c r="Y848" s="61">
        <v>2</v>
      </c>
    </row>
    <row r="849" spans="24:25" x14ac:dyDescent="0.3">
      <c r="X849">
        <v>85.899999999999906</v>
      </c>
      <c r="Y849" s="61">
        <v>2</v>
      </c>
    </row>
    <row r="850" spans="24:25" x14ac:dyDescent="0.3">
      <c r="X850">
        <v>85.999999999999901</v>
      </c>
      <c r="Y850" s="61">
        <v>2</v>
      </c>
    </row>
    <row r="851" spans="24:25" x14ac:dyDescent="0.3">
      <c r="X851">
        <v>86.099999999999895</v>
      </c>
      <c r="Y851" s="61">
        <v>2</v>
      </c>
    </row>
    <row r="852" spans="24:25" x14ac:dyDescent="0.3">
      <c r="X852">
        <v>86.199999999999903</v>
      </c>
      <c r="Y852" s="61">
        <v>2</v>
      </c>
    </row>
    <row r="853" spans="24:25" x14ac:dyDescent="0.3">
      <c r="X853">
        <v>86.299999999999898</v>
      </c>
      <c r="Y853" s="61">
        <v>2</v>
      </c>
    </row>
    <row r="854" spans="24:25" x14ac:dyDescent="0.3">
      <c r="X854">
        <v>86.399999999999906</v>
      </c>
      <c r="Y854" s="61">
        <v>2</v>
      </c>
    </row>
    <row r="855" spans="24:25" x14ac:dyDescent="0.3">
      <c r="X855">
        <v>86.499999999999901</v>
      </c>
      <c r="Y855" s="61">
        <v>2</v>
      </c>
    </row>
    <row r="856" spans="24:25" x14ac:dyDescent="0.3">
      <c r="X856">
        <v>86.599999999999895</v>
      </c>
      <c r="Y856" s="61">
        <v>2</v>
      </c>
    </row>
    <row r="857" spans="24:25" x14ac:dyDescent="0.3">
      <c r="X857">
        <v>86.699999999999903</v>
      </c>
      <c r="Y857" s="61">
        <v>2</v>
      </c>
    </row>
    <row r="858" spans="24:25" x14ac:dyDescent="0.3">
      <c r="X858">
        <v>86.799999999999898</v>
      </c>
      <c r="Y858" s="61">
        <v>2</v>
      </c>
    </row>
    <row r="859" spans="24:25" x14ac:dyDescent="0.3">
      <c r="X859">
        <v>86.899999999999906</v>
      </c>
      <c r="Y859" s="61">
        <v>2</v>
      </c>
    </row>
    <row r="860" spans="24:25" x14ac:dyDescent="0.3">
      <c r="X860">
        <v>86.999999999999901</v>
      </c>
      <c r="Y860" s="61">
        <v>2</v>
      </c>
    </row>
    <row r="861" spans="24:25" x14ac:dyDescent="0.3">
      <c r="X861">
        <v>87.099999999999895</v>
      </c>
      <c r="Y861" s="61">
        <v>2</v>
      </c>
    </row>
    <row r="862" spans="24:25" x14ac:dyDescent="0.3">
      <c r="X862">
        <v>87.199999999999903</v>
      </c>
      <c r="Y862" s="61">
        <v>2</v>
      </c>
    </row>
    <row r="863" spans="24:25" x14ac:dyDescent="0.3">
      <c r="X863">
        <v>87.299999999999898</v>
      </c>
      <c r="Y863" s="61">
        <v>2</v>
      </c>
    </row>
    <row r="864" spans="24:25" x14ac:dyDescent="0.3">
      <c r="X864">
        <v>87.399999999999906</v>
      </c>
      <c r="Y864" s="61">
        <v>2</v>
      </c>
    </row>
    <row r="865" spans="24:25" x14ac:dyDescent="0.3">
      <c r="X865">
        <v>87.499999999999901</v>
      </c>
      <c r="Y865" s="61">
        <v>2</v>
      </c>
    </row>
    <row r="866" spans="24:25" x14ac:dyDescent="0.3">
      <c r="X866">
        <v>87.599999999999895</v>
      </c>
      <c r="Y866" s="61">
        <v>2</v>
      </c>
    </row>
    <row r="867" spans="24:25" x14ac:dyDescent="0.3">
      <c r="X867">
        <v>87.699999999999903</v>
      </c>
      <c r="Y867" s="61">
        <v>2</v>
      </c>
    </row>
    <row r="868" spans="24:25" x14ac:dyDescent="0.3">
      <c r="X868">
        <v>87.799999999999898</v>
      </c>
      <c r="Y868" s="61">
        <v>2</v>
      </c>
    </row>
    <row r="869" spans="24:25" x14ac:dyDescent="0.3">
      <c r="X869">
        <v>87.899999999999906</v>
      </c>
      <c r="Y869" s="61">
        <v>2</v>
      </c>
    </row>
    <row r="870" spans="24:25" x14ac:dyDescent="0.3">
      <c r="X870">
        <v>87.999999999999901</v>
      </c>
      <c r="Y870" s="61">
        <v>2</v>
      </c>
    </row>
    <row r="871" spans="24:25" x14ac:dyDescent="0.3">
      <c r="X871">
        <v>88.099999999999895</v>
      </c>
      <c r="Y871" s="61">
        <v>2</v>
      </c>
    </row>
    <row r="872" spans="24:25" x14ac:dyDescent="0.3">
      <c r="X872">
        <v>88.199999999999903</v>
      </c>
      <c r="Y872" s="61">
        <v>2</v>
      </c>
    </row>
    <row r="873" spans="24:25" x14ac:dyDescent="0.3">
      <c r="X873">
        <v>88.299999999999898</v>
      </c>
      <c r="Y873" s="61">
        <v>2</v>
      </c>
    </row>
    <row r="874" spans="24:25" x14ac:dyDescent="0.3">
      <c r="X874">
        <v>88.399999999999906</v>
      </c>
      <c r="Y874" s="61">
        <v>2</v>
      </c>
    </row>
    <row r="875" spans="24:25" x14ac:dyDescent="0.3">
      <c r="X875">
        <v>88.499999999999901</v>
      </c>
      <c r="Y875" s="61">
        <v>1.75</v>
      </c>
    </row>
    <row r="876" spans="24:25" x14ac:dyDescent="0.3">
      <c r="X876">
        <v>88.599999999999895</v>
      </c>
      <c r="Y876" s="61">
        <v>1.75</v>
      </c>
    </row>
    <row r="877" spans="24:25" x14ac:dyDescent="0.3">
      <c r="X877">
        <v>88.699999999999903</v>
      </c>
      <c r="Y877" s="61">
        <v>1.75</v>
      </c>
    </row>
    <row r="878" spans="24:25" x14ac:dyDescent="0.3">
      <c r="X878">
        <v>88.799999999999898</v>
      </c>
      <c r="Y878" s="61">
        <v>1.75</v>
      </c>
    </row>
    <row r="879" spans="24:25" x14ac:dyDescent="0.3">
      <c r="X879">
        <v>88.899999999999906</v>
      </c>
      <c r="Y879" s="61">
        <v>1.75</v>
      </c>
    </row>
    <row r="880" spans="24:25" x14ac:dyDescent="0.3">
      <c r="X880">
        <v>88.999999999999901</v>
      </c>
      <c r="Y880" s="61">
        <v>1.75</v>
      </c>
    </row>
    <row r="881" spans="24:25" x14ac:dyDescent="0.3">
      <c r="X881">
        <v>89.099999999999895</v>
      </c>
      <c r="Y881" s="61">
        <v>1.75</v>
      </c>
    </row>
    <row r="882" spans="24:25" x14ac:dyDescent="0.3">
      <c r="X882">
        <v>89.199999999999903</v>
      </c>
      <c r="Y882" s="61">
        <v>1.75</v>
      </c>
    </row>
    <row r="883" spans="24:25" x14ac:dyDescent="0.3">
      <c r="X883">
        <v>89.299999999999898</v>
      </c>
      <c r="Y883" s="61">
        <v>1.75</v>
      </c>
    </row>
    <row r="884" spans="24:25" x14ac:dyDescent="0.3">
      <c r="X884">
        <v>89.399999999999906</v>
      </c>
      <c r="Y884" s="61">
        <v>1.75</v>
      </c>
    </row>
    <row r="885" spans="24:25" x14ac:dyDescent="0.3">
      <c r="X885">
        <v>89.499999999999901</v>
      </c>
      <c r="Y885" s="61">
        <v>1.75</v>
      </c>
    </row>
    <row r="886" spans="24:25" x14ac:dyDescent="0.3">
      <c r="X886">
        <v>89.599999999999895</v>
      </c>
      <c r="Y886" s="61">
        <v>1.75</v>
      </c>
    </row>
    <row r="887" spans="24:25" x14ac:dyDescent="0.3">
      <c r="X887">
        <v>89.699999999999903</v>
      </c>
      <c r="Y887" s="61">
        <v>1.75</v>
      </c>
    </row>
    <row r="888" spans="24:25" x14ac:dyDescent="0.3">
      <c r="X888">
        <v>89.799999999999898</v>
      </c>
      <c r="Y888" s="61">
        <v>1.75</v>
      </c>
    </row>
    <row r="889" spans="24:25" x14ac:dyDescent="0.3">
      <c r="X889">
        <v>89.899999999999906</v>
      </c>
      <c r="Y889" s="61">
        <v>1.75</v>
      </c>
    </row>
    <row r="890" spans="24:25" x14ac:dyDescent="0.3">
      <c r="X890">
        <v>89.999999999999901</v>
      </c>
      <c r="Y890" s="61">
        <v>1.75</v>
      </c>
    </row>
    <row r="891" spans="24:25" x14ac:dyDescent="0.3">
      <c r="X891">
        <v>90.099999999999895</v>
      </c>
      <c r="Y891" s="61">
        <v>1.75</v>
      </c>
    </row>
    <row r="892" spans="24:25" x14ac:dyDescent="0.3">
      <c r="X892">
        <v>90.199999999999903</v>
      </c>
      <c r="Y892" s="61">
        <v>1.75</v>
      </c>
    </row>
    <row r="893" spans="24:25" x14ac:dyDescent="0.3">
      <c r="X893">
        <v>90.299999999999898</v>
      </c>
      <c r="Y893" s="61">
        <v>1.75</v>
      </c>
    </row>
    <row r="894" spans="24:25" x14ac:dyDescent="0.3">
      <c r="X894">
        <v>90.399999999999906</v>
      </c>
      <c r="Y894" s="61">
        <v>1.75</v>
      </c>
    </row>
    <row r="895" spans="24:25" x14ac:dyDescent="0.3">
      <c r="X895">
        <v>90.499999999999901</v>
      </c>
      <c r="Y895" s="61">
        <v>1.75</v>
      </c>
    </row>
    <row r="896" spans="24:25" x14ac:dyDescent="0.3">
      <c r="X896">
        <v>90.599999999999895</v>
      </c>
      <c r="Y896" s="61">
        <v>1.75</v>
      </c>
    </row>
    <row r="897" spans="24:25" x14ac:dyDescent="0.3">
      <c r="X897">
        <v>90.699999999999903</v>
      </c>
      <c r="Y897" s="61">
        <v>1.75</v>
      </c>
    </row>
    <row r="898" spans="24:25" x14ac:dyDescent="0.3">
      <c r="X898">
        <v>90.799999999999898</v>
      </c>
      <c r="Y898" s="61">
        <v>1.75</v>
      </c>
    </row>
    <row r="899" spans="24:25" x14ac:dyDescent="0.3">
      <c r="X899">
        <v>90.899999999999906</v>
      </c>
      <c r="Y899" s="61">
        <v>1.75</v>
      </c>
    </row>
    <row r="900" spans="24:25" x14ac:dyDescent="0.3">
      <c r="X900">
        <v>90.999999999999901</v>
      </c>
      <c r="Y900" s="61">
        <v>1.75</v>
      </c>
    </row>
    <row r="901" spans="24:25" x14ac:dyDescent="0.3">
      <c r="X901">
        <v>91.099999999999895</v>
      </c>
      <c r="Y901" s="61">
        <v>1.75</v>
      </c>
    </row>
    <row r="902" spans="24:25" x14ac:dyDescent="0.3">
      <c r="X902">
        <v>91.199999999999903</v>
      </c>
      <c r="Y902" s="61">
        <v>1.75</v>
      </c>
    </row>
    <row r="903" spans="24:25" x14ac:dyDescent="0.3">
      <c r="X903">
        <v>91.299999999999898</v>
      </c>
      <c r="Y903" s="61">
        <v>1.75</v>
      </c>
    </row>
    <row r="904" spans="24:25" x14ac:dyDescent="0.3">
      <c r="X904">
        <v>91.399999999999906</v>
      </c>
      <c r="Y904" s="61">
        <v>1.75</v>
      </c>
    </row>
    <row r="905" spans="24:25" x14ac:dyDescent="0.3">
      <c r="X905">
        <v>91.499999999999901</v>
      </c>
      <c r="Y905" s="61">
        <v>1.5</v>
      </c>
    </row>
    <row r="906" spans="24:25" x14ac:dyDescent="0.3">
      <c r="X906">
        <v>91.599999999999895</v>
      </c>
      <c r="Y906" s="61">
        <v>1.5</v>
      </c>
    </row>
    <row r="907" spans="24:25" x14ac:dyDescent="0.3">
      <c r="X907">
        <v>91.699999999999903</v>
      </c>
      <c r="Y907" s="61">
        <v>1.5</v>
      </c>
    </row>
    <row r="908" spans="24:25" x14ac:dyDescent="0.3">
      <c r="X908">
        <v>91.799999999999898</v>
      </c>
      <c r="Y908" s="61">
        <v>1.5</v>
      </c>
    </row>
    <row r="909" spans="24:25" x14ac:dyDescent="0.3">
      <c r="X909">
        <v>91.899999999999906</v>
      </c>
      <c r="Y909" s="61">
        <v>1.5</v>
      </c>
    </row>
    <row r="910" spans="24:25" x14ac:dyDescent="0.3">
      <c r="X910">
        <v>91.999999999999901</v>
      </c>
      <c r="Y910" s="61">
        <v>1.5</v>
      </c>
    </row>
    <row r="911" spans="24:25" x14ac:dyDescent="0.3">
      <c r="X911">
        <v>92.099999999999895</v>
      </c>
      <c r="Y911" s="61">
        <v>1.5</v>
      </c>
    </row>
    <row r="912" spans="24:25" x14ac:dyDescent="0.3">
      <c r="X912">
        <v>92.199999999999903</v>
      </c>
      <c r="Y912" s="61">
        <v>1.5</v>
      </c>
    </row>
    <row r="913" spans="24:25" x14ac:dyDescent="0.3">
      <c r="X913">
        <v>92.299999999999898</v>
      </c>
      <c r="Y913" s="61">
        <v>1.5</v>
      </c>
    </row>
    <row r="914" spans="24:25" x14ac:dyDescent="0.3">
      <c r="X914">
        <v>92.399999999999906</v>
      </c>
      <c r="Y914" s="61">
        <v>1.5</v>
      </c>
    </row>
    <row r="915" spans="24:25" x14ac:dyDescent="0.3">
      <c r="X915">
        <v>92.499999999999901</v>
      </c>
      <c r="Y915" s="61">
        <v>1.5</v>
      </c>
    </row>
    <row r="916" spans="24:25" x14ac:dyDescent="0.3">
      <c r="X916">
        <v>92.599999999999895</v>
      </c>
      <c r="Y916" s="61">
        <v>1.5</v>
      </c>
    </row>
    <row r="917" spans="24:25" x14ac:dyDescent="0.3">
      <c r="X917">
        <v>92.699999999999903</v>
      </c>
      <c r="Y917" s="61">
        <v>1.5</v>
      </c>
    </row>
    <row r="918" spans="24:25" x14ac:dyDescent="0.3">
      <c r="X918">
        <v>92.799999999999898</v>
      </c>
      <c r="Y918" s="61">
        <v>1.5</v>
      </c>
    </row>
    <row r="919" spans="24:25" x14ac:dyDescent="0.3">
      <c r="X919">
        <v>92.899999999999906</v>
      </c>
      <c r="Y919" s="61">
        <v>1.5</v>
      </c>
    </row>
    <row r="920" spans="24:25" x14ac:dyDescent="0.3">
      <c r="X920">
        <v>92.999999999999901</v>
      </c>
      <c r="Y920" s="61">
        <v>1.5</v>
      </c>
    </row>
    <row r="921" spans="24:25" x14ac:dyDescent="0.3">
      <c r="X921">
        <v>93.099999999999895</v>
      </c>
      <c r="Y921" s="61">
        <v>1.5</v>
      </c>
    </row>
    <row r="922" spans="24:25" x14ac:dyDescent="0.3">
      <c r="X922">
        <v>93.199999999999903</v>
      </c>
      <c r="Y922" s="61">
        <v>1.5</v>
      </c>
    </row>
    <row r="923" spans="24:25" x14ac:dyDescent="0.3">
      <c r="X923">
        <v>93.299999999999898</v>
      </c>
      <c r="Y923" s="61">
        <v>1.5</v>
      </c>
    </row>
    <row r="924" spans="24:25" x14ac:dyDescent="0.3">
      <c r="X924">
        <v>93.399999999999906</v>
      </c>
      <c r="Y924" s="61">
        <v>1.5</v>
      </c>
    </row>
    <row r="925" spans="24:25" x14ac:dyDescent="0.3">
      <c r="X925">
        <v>93.499999999999901</v>
      </c>
      <c r="Y925" s="61">
        <v>1.5</v>
      </c>
    </row>
    <row r="926" spans="24:25" x14ac:dyDescent="0.3">
      <c r="X926">
        <v>93.599999999999895</v>
      </c>
      <c r="Y926" s="61">
        <v>1.5</v>
      </c>
    </row>
    <row r="927" spans="24:25" x14ac:dyDescent="0.3">
      <c r="X927">
        <v>93.699999999999903</v>
      </c>
      <c r="Y927" s="61">
        <v>1.5</v>
      </c>
    </row>
    <row r="928" spans="24:25" x14ac:dyDescent="0.3">
      <c r="X928">
        <v>93.799999999999898</v>
      </c>
      <c r="Y928" s="61">
        <v>1.5</v>
      </c>
    </row>
    <row r="929" spans="24:25" x14ac:dyDescent="0.3">
      <c r="X929">
        <v>93.899999999999906</v>
      </c>
      <c r="Y929" s="61">
        <v>1.5</v>
      </c>
    </row>
    <row r="930" spans="24:25" x14ac:dyDescent="0.3">
      <c r="X930">
        <v>93.999999999999901</v>
      </c>
      <c r="Y930" s="61">
        <v>1.5</v>
      </c>
    </row>
    <row r="931" spans="24:25" x14ac:dyDescent="0.3">
      <c r="X931">
        <v>94.099999999999895</v>
      </c>
      <c r="Y931" s="61">
        <v>1.5</v>
      </c>
    </row>
    <row r="932" spans="24:25" x14ac:dyDescent="0.3">
      <c r="X932">
        <v>94.199999999999903</v>
      </c>
      <c r="Y932" s="61">
        <v>1.5</v>
      </c>
    </row>
    <row r="933" spans="24:25" x14ac:dyDescent="0.3">
      <c r="X933">
        <v>94.299999999999898</v>
      </c>
      <c r="Y933" s="61">
        <v>1.5</v>
      </c>
    </row>
    <row r="934" spans="24:25" x14ac:dyDescent="0.3">
      <c r="X934">
        <v>94.399999999999906</v>
      </c>
      <c r="Y934" s="61">
        <v>1.5</v>
      </c>
    </row>
    <row r="935" spans="24:25" x14ac:dyDescent="0.3">
      <c r="X935">
        <v>94.499999999999901</v>
      </c>
      <c r="Y935" s="61">
        <v>1.25</v>
      </c>
    </row>
    <row r="936" spans="24:25" x14ac:dyDescent="0.3">
      <c r="X936">
        <v>94.599999999999895</v>
      </c>
      <c r="Y936" s="61">
        <v>1.25</v>
      </c>
    </row>
    <row r="937" spans="24:25" x14ac:dyDescent="0.3">
      <c r="X937">
        <v>94.699999999999903</v>
      </c>
      <c r="Y937" s="61">
        <v>1.25</v>
      </c>
    </row>
    <row r="938" spans="24:25" x14ac:dyDescent="0.3">
      <c r="X938">
        <v>94.799999999999898</v>
      </c>
      <c r="Y938" s="61">
        <v>1.25</v>
      </c>
    </row>
    <row r="939" spans="24:25" x14ac:dyDescent="0.3">
      <c r="X939">
        <v>94.899999999999906</v>
      </c>
      <c r="Y939" s="61">
        <v>1.25</v>
      </c>
    </row>
    <row r="940" spans="24:25" x14ac:dyDescent="0.3">
      <c r="X940">
        <v>94.999999999999901</v>
      </c>
      <c r="Y940" s="61">
        <v>1.25</v>
      </c>
    </row>
    <row r="941" spans="24:25" x14ac:dyDescent="0.3">
      <c r="X941">
        <v>95.099999999999895</v>
      </c>
      <c r="Y941" s="61">
        <v>1.25</v>
      </c>
    </row>
    <row r="942" spans="24:25" x14ac:dyDescent="0.3">
      <c r="X942">
        <v>95.199999999999903</v>
      </c>
      <c r="Y942" s="61">
        <v>1.25</v>
      </c>
    </row>
    <row r="943" spans="24:25" x14ac:dyDescent="0.3">
      <c r="X943">
        <v>95.299999999999898</v>
      </c>
      <c r="Y943" s="61">
        <v>1.25</v>
      </c>
    </row>
    <row r="944" spans="24:25" x14ac:dyDescent="0.3">
      <c r="X944">
        <v>95.399999999999906</v>
      </c>
      <c r="Y944" s="61">
        <v>1.25</v>
      </c>
    </row>
    <row r="945" spans="24:25" x14ac:dyDescent="0.3">
      <c r="X945">
        <v>95.499999999999901</v>
      </c>
      <c r="Y945" s="61">
        <v>1.25</v>
      </c>
    </row>
    <row r="946" spans="24:25" x14ac:dyDescent="0.3">
      <c r="X946">
        <v>95.599999999999895</v>
      </c>
      <c r="Y946" s="61">
        <v>1.25</v>
      </c>
    </row>
    <row r="947" spans="24:25" x14ac:dyDescent="0.3">
      <c r="X947">
        <v>95.699999999999903</v>
      </c>
      <c r="Y947" s="61">
        <v>1.25</v>
      </c>
    </row>
    <row r="948" spans="24:25" x14ac:dyDescent="0.3">
      <c r="X948">
        <v>95.799999999999898</v>
      </c>
      <c r="Y948" s="61">
        <v>1.25</v>
      </c>
    </row>
    <row r="949" spans="24:25" x14ac:dyDescent="0.3">
      <c r="X949">
        <v>95.899999999999906</v>
      </c>
      <c r="Y949" s="61">
        <v>1.25</v>
      </c>
    </row>
    <row r="950" spans="24:25" x14ac:dyDescent="0.3">
      <c r="X950">
        <v>95.999999999999901</v>
      </c>
      <c r="Y950" s="61">
        <v>1.25</v>
      </c>
    </row>
    <row r="951" spans="24:25" x14ac:dyDescent="0.3">
      <c r="X951">
        <v>96.099999999999895</v>
      </c>
      <c r="Y951" s="61">
        <v>1.25</v>
      </c>
    </row>
    <row r="952" spans="24:25" x14ac:dyDescent="0.3">
      <c r="X952">
        <v>96.199999999999903</v>
      </c>
      <c r="Y952" s="61">
        <v>1.25</v>
      </c>
    </row>
    <row r="953" spans="24:25" x14ac:dyDescent="0.3">
      <c r="X953">
        <v>96.299999999999898</v>
      </c>
      <c r="Y953" s="61">
        <v>1.25</v>
      </c>
    </row>
    <row r="954" spans="24:25" x14ac:dyDescent="0.3">
      <c r="X954">
        <v>96.399999999999906</v>
      </c>
      <c r="Y954" s="61">
        <v>1.25</v>
      </c>
    </row>
    <row r="955" spans="24:25" x14ac:dyDescent="0.3">
      <c r="X955">
        <v>96.499999999999901</v>
      </c>
      <c r="Y955" s="61">
        <v>1.25</v>
      </c>
    </row>
    <row r="956" spans="24:25" x14ac:dyDescent="0.3">
      <c r="X956">
        <v>96.599999999999895</v>
      </c>
      <c r="Y956" s="61">
        <v>1.25</v>
      </c>
    </row>
    <row r="957" spans="24:25" x14ac:dyDescent="0.3">
      <c r="X957">
        <v>96.699999999999903</v>
      </c>
      <c r="Y957" s="61">
        <v>1.25</v>
      </c>
    </row>
    <row r="958" spans="24:25" x14ac:dyDescent="0.3">
      <c r="X958">
        <v>96.799999999999898</v>
      </c>
      <c r="Y958" s="61">
        <v>1.25</v>
      </c>
    </row>
    <row r="959" spans="24:25" x14ac:dyDescent="0.3">
      <c r="X959">
        <v>96.899999999999906</v>
      </c>
      <c r="Y959" s="61">
        <v>1.25</v>
      </c>
    </row>
    <row r="960" spans="24:25" x14ac:dyDescent="0.3">
      <c r="X960">
        <v>96.999999999999901</v>
      </c>
      <c r="Y960" s="61">
        <v>1.25</v>
      </c>
    </row>
    <row r="961" spans="24:25" x14ac:dyDescent="0.3">
      <c r="X961">
        <v>97.099999999999895</v>
      </c>
      <c r="Y961" s="61">
        <v>1.25</v>
      </c>
    </row>
    <row r="962" spans="24:25" x14ac:dyDescent="0.3">
      <c r="X962">
        <v>97.199999999999903</v>
      </c>
      <c r="Y962" s="61">
        <v>1.25</v>
      </c>
    </row>
    <row r="963" spans="24:25" x14ac:dyDescent="0.3">
      <c r="X963">
        <v>97.299999999999898</v>
      </c>
      <c r="Y963" s="61">
        <v>1.25</v>
      </c>
    </row>
    <row r="964" spans="24:25" x14ac:dyDescent="0.3">
      <c r="X964">
        <v>97.399999999999906</v>
      </c>
      <c r="Y964" s="61">
        <v>1.25</v>
      </c>
    </row>
    <row r="965" spans="24:25" x14ac:dyDescent="0.3">
      <c r="X965">
        <v>97.499999999999901</v>
      </c>
      <c r="Y965" s="61">
        <v>1</v>
      </c>
    </row>
    <row r="966" spans="24:25" x14ac:dyDescent="0.3">
      <c r="X966">
        <v>97.599999999999895</v>
      </c>
      <c r="Y966" s="61">
        <v>1</v>
      </c>
    </row>
    <row r="967" spans="24:25" x14ac:dyDescent="0.3">
      <c r="X967">
        <v>97.699999999999903</v>
      </c>
      <c r="Y967" s="61">
        <v>1</v>
      </c>
    </row>
    <row r="968" spans="24:25" x14ac:dyDescent="0.3">
      <c r="X968">
        <v>97.799999999999898</v>
      </c>
      <c r="Y968" s="61">
        <v>1</v>
      </c>
    </row>
    <row r="969" spans="24:25" x14ac:dyDescent="0.3">
      <c r="X969">
        <v>97.899999999999906</v>
      </c>
      <c r="Y969" s="61">
        <v>1</v>
      </c>
    </row>
    <row r="970" spans="24:25" x14ac:dyDescent="0.3">
      <c r="X970">
        <v>97.999999999999901</v>
      </c>
      <c r="Y970" s="61">
        <v>1</v>
      </c>
    </row>
    <row r="971" spans="24:25" x14ac:dyDescent="0.3">
      <c r="X971">
        <v>98.099999999999895</v>
      </c>
      <c r="Y971" s="61">
        <v>1</v>
      </c>
    </row>
    <row r="972" spans="24:25" x14ac:dyDescent="0.3">
      <c r="X972">
        <v>98.199999999999903</v>
      </c>
      <c r="Y972" s="61">
        <v>1</v>
      </c>
    </row>
    <row r="973" spans="24:25" x14ac:dyDescent="0.3">
      <c r="X973">
        <v>98.299999999999898</v>
      </c>
      <c r="Y973" s="61">
        <v>1</v>
      </c>
    </row>
    <row r="974" spans="24:25" x14ac:dyDescent="0.3">
      <c r="X974">
        <v>98.399999999999906</v>
      </c>
      <c r="Y974" s="61">
        <v>1</v>
      </c>
    </row>
    <row r="975" spans="24:25" x14ac:dyDescent="0.3">
      <c r="X975">
        <v>98.499999999999901</v>
      </c>
      <c r="Y975" s="61">
        <v>1</v>
      </c>
    </row>
    <row r="976" spans="24:25" x14ac:dyDescent="0.3">
      <c r="X976">
        <v>98.599999999999895</v>
      </c>
      <c r="Y976" s="61">
        <v>1</v>
      </c>
    </row>
    <row r="977" spans="24:25" x14ac:dyDescent="0.3">
      <c r="X977">
        <v>98.699999999999903</v>
      </c>
      <c r="Y977" s="61">
        <v>1</v>
      </c>
    </row>
    <row r="978" spans="24:25" x14ac:dyDescent="0.3">
      <c r="X978">
        <v>98.799999999999898</v>
      </c>
      <c r="Y978" s="61">
        <v>1</v>
      </c>
    </row>
    <row r="979" spans="24:25" x14ac:dyDescent="0.3">
      <c r="X979">
        <v>98.899999999999906</v>
      </c>
      <c r="Y979" s="61">
        <v>1</v>
      </c>
    </row>
    <row r="980" spans="24:25" x14ac:dyDescent="0.3">
      <c r="X980">
        <v>98.999999999999901</v>
      </c>
      <c r="Y980" s="61">
        <v>1</v>
      </c>
    </row>
    <row r="981" spans="24:25" x14ac:dyDescent="0.3">
      <c r="X981">
        <v>99.099999999999895</v>
      </c>
      <c r="Y981" s="61">
        <v>1</v>
      </c>
    </row>
    <row r="982" spans="24:25" x14ac:dyDescent="0.3">
      <c r="X982">
        <v>99.199999999999903</v>
      </c>
      <c r="Y982" s="61">
        <v>1</v>
      </c>
    </row>
    <row r="983" spans="24:25" x14ac:dyDescent="0.3">
      <c r="X983">
        <v>99.299999999999898</v>
      </c>
      <c r="Y983" s="61">
        <v>1</v>
      </c>
    </row>
    <row r="984" spans="24:25" x14ac:dyDescent="0.3">
      <c r="X984">
        <v>99.399999999999906</v>
      </c>
      <c r="Y984" s="61">
        <v>1</v>
      </c>
    </row>
    <row r="985" spans="24:25" x14ac:dyDescent="0.3">
      <c r="X985">
        <v>99.499999999999901</v>
      </c>
      <c r="Y985" s="61">
        <v>1</v>
      </c>
    </row>
    <row r="986" spans="24:25" x14ac:dyDescent="0.3">
      <c r="X986">
        <v>99.599999999999895</v>
      </c>
      <c r="Y986" s="61">
        <v>1</v>
      </c>
    </row>
    <row r="987" spans="24:25" x14ac:dyDescent="0.3">
      <c r="X987">
        <v>99.699999999999903</v>
      </c>
      <c r="Y987" s="61">
        <v>1</v>
      </c>
    </row>
    <row r="988" spans="24:25" x14ac:dyDescent="0.3">
      <c r="X988">
        <v>99.799999999999898</v>
      </c>
      <c r="Y988" s="61">
        <v>1</v>
      </c>
    </row>
    <row r="989" spans="24:25" x14ac:dyDescent="0.3">
      <c r="X989">
        <v>99.899999999999906</v>
      </c>
      <c r="Y989" s="61">
        <v>1</v>
      </c>
    </row>
    <row r="990" spans="24:25" x14ac:dyDescent="0.3">
      <c r="X990">
        <v>99.999999999999901</v>
      </c>
      <c r="Y990" s="61">
        <v>1</v>
      </c>
    </row>
  </sheetData>
  <sheetProtection algorithmName="SHA-512" hashValue="NUu8Yf5RqTIzulMjBaRDcyFN/nO5Un9je/1gRe4z6CUCVIwSbWtAIPDm/0NPVOzVyv+9U++GSuuLzYxAeFnFvQ==" saltValue="ymm1rxM079dgNQS8jfOp5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B40"/>
  <sheetViews>
    <sheetView topLeftCell="A20" workbookViewId="0">
      <selection activeCell="A41" sqref="A41"/>
    </sheetView>
  </sheetViews>
  <sheetFormatPr defaultColWidth="8.77734375" defaultRowHeight="14.4" x14ac:dyDescent="0.3"/>
  <cols>
    <col min="1" max="1" width="45.77734375" customWidth="1"/>
    <col min="2" max="2" width="27.44140625" customWidth="1"/>
  </cols>
  <sheetData>
    <row r="1" spans="1:2" x14ac:dyDescent="0.3">
      <c r="A1" t="s">
        <v>62</v>
      </c>
      <c r="B1" t="s">
        <v>33</v>
      </c>
    </row>
    <row r="2" spans="1:2" x14ac:dyDescent="0.3">
      <c r="A2" t="s">
        <v>54</v>
      </c>
      <c r="B2" t="s">
        <v>32</v>
      </c>
    </row>
    <row r="3" spans="1:2" x14ac:dyDescent="0.3">
      <c r="A3" t="s">
        <v>29</v>
      </c>
    </row>
    <row r="4" spans="1:2" x14ac:dyDescent="0.3">
      <c r="A4" t="s">
        <v>63</v>
      </c>
      <c r="B4" t="s">
        <v>35</v>
      </c>
    </row>
    <row r="5" spans="1:2" x14ac:dyDescent="0.3">
      <c r="A5" t="s">
        <v>30</v>
      </c>
      <c r="B5" t="s">
        <v>64</v>
      </c>
    </row>
    <row r="6" spans="1:2" x14ac:dyDescent="0.3">
      <c r="A6" t="s">
        <v>31</v>
      </c>
      <c r="B6" t="s">
        <v>34</v>
      </c>
    </row>
    <row r="7" spans="1:2" x14ac:dyDescent="0.3">
      <c r="A7" t="s">
        <v>57</v>
      </c>
      <c r="B7" t="s">
        <v>65</v>
      </c>
    </row>
    <row r="8" spans="1:2" x14ac:dyDescent="0.3">
      <c r="A8" t="s">
        <v>55</v>
      </c>
    </row>
    <row r="9" spans="1:2" x14ac:dyDescent="0.3">
      <c r="A9" t="s">
        <v>59</v>
      </c>
    </row>
    <row r="10" spans="1:2" x14ac:dyDescent="0.3">
      <c r="A10" t="s">
        <v>58</v>
      </c>
    </row>
    <row r="11" spans="1:2" x14ac:dyDescent="0.3">
      <c r="A11" t="s">
        <v>53</v>
      </c>
    </row>
    <row r="12" spans="1:2" x14ac:dyDescent="0.3">
      <c r="A12" t="s">
        <v>60</v>
      </c>
    </row>
    <row r="13" spans="1:2" x14ac:dyDescent="0.3">
      <c r="A13" t="s">
        <v>61</v>
      </c>
    </row>
    <row r="14" spans="1:2" x14ac:dyDescent="0.3">
      <c r="A14" t="s">
        <v>56</v>
      </c>
    </row>
    <row r="17" spans="1:1" x14ac:dyDescent="0.3">
      <c r="A17" t="s">
        <v>82</v>
      </c>
    </row>
    <row r="18" spans="1:1" x14ac:dyDescent="0.3">
      <c r="A18" t="s">
        <v>80</v>
      </c>
    </row>
    <row r="19" spans="1:1" x14ac:dyDescent="0.3">
      <c r="A19" t="s">
        <v>74</v>
      </c>
    </row>
    <row r="20" spans="1:1" x14ac:dyDescent="0.3">
      <c r="A20" t="s">
        <v>81</v>
      </c>
    </row>
    <row r="21" spans="1:1" x14ac:dyDescent="0.3">
      <c r="A21" t="s">
        <v>69</v>
      </c>
    </row>
    <row r="22" spans="1:1" x14ac:dyDescent="0.3">
      <c r="A22" t="s">
        <v>72</v>
      </c>
    </row>
    <row r="23" spans="1:1" x14ac:dyDescent="0.3">
      <c r="A23" t="s">
        <v>70</v>
      </c>
    </row>
    <row r="24" spans="1:1" x14ac:dyDescent="0.3">
      <c r="A24" t="s">
        <v>67</v>
      </c>
    </row>
    <row r="25" spans="1:1" x14ac:dyDescent="0.3">
      <c r="A25" t="s">
        <v>71</v>
      </c>
    </row>
    <row r="26" spans="1:1" x14ac:dyDescent="0.3">
      <c r="A26" t="s">
        <v>75</v>
      </c>
    </row>
    <row r="27" spans="1:1" x14ac:dyDescent="0.3">
      <c r="A27" t="s">
        <v>73</v>
      </c>
    </row>
    <row r="28" spans="1:1" x14ac:dyDescent="0.3">
      <c r="A28" t="s">
        <v>66</v>
      </c>
    </row>
    <row r="29" spans="1:1" x14ac:dyDescent="0.3">
      <c r="A29" t="s">
        <v>76</v>
      </c>
    </row>
    <row r="30" spans="1:1" x14ac:dyDescent="0.3">
      <c r="A30" t="s">
        <v>68</v>
      </c>
    </row>
    <row r="31" spans="1:1" x14ac:dyDescent="0.3">
      <c r="A31" t="s">
        <v>77</v>
      </c>
    </row>
    <row r="32" spans="1:1" x14ac:dyDescent="0.3">
      <c r="A32" t="s">
        <v>79</v>
      </c>
    </row>
    <row r="33" spans="1:1" x14ac:dyDescent="0.3">
      <c r="A33" t="s">
        <v>78</v>
      </c>
    </row>
    <row r="35" spans="1:1" x14ac:dyDescent="0.3">
      <c r="A35" t="s">
        <v>93</v>
      </c>
    </row>
    <row r="36" spans="1:1" x14ac:dyDescent="0.3">
      <c r="A36" t="s">
        <v>94</v>
      </c>
    </row>
    <row r="37" spans="1:1" x14ac:dyDescent="0.3">
      <c r="A37" t="s">
        <v>95</v>
      </c>
    </row>
    <row r="38" spans="1:1" x14ac:dyDescent="0.3">
      <c r="A38" t="s">
        <v>96</v>
      </c>
    </row>
    <row r="39" spans="1:1" x14ac:dyDescent="0.3">
      <c r="A39" t="s">
        <v>97</v>
      </c>
    </row>
    <row r="40" spans="1:1" x14ac:dyDescent="0.3">
      <c r="A40" t="s">
        <v>98</v>
      </c>
    </row>
  </sheetData>
  <sheetProtection algorithmName="SHA-512" hashValue="HzIyzijKk9nDuK93pAHjDkyqkvUhDxJfozTxwGIfW9oCrzKFPLy8truc6rMYDE893brL8EO+i67KZo6wb25ooQ==" saltValue="KoX4+5JBEyF+LU/VdkXAjA==" spinCount="100000" sheet="1" objects="1" scenarios="1"/>
  <sortState xmlns:xlrd2="http://schemas.microsoft.com/office/spreadsheetml/2017/richdata2" ref="A17:A33">
    <sortCondition ref="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ENTRY</vt:lpstr>
      <vt:lpstr>PRELIM</vt:lpstr>
      <vt:lpstr>MIDTERM</vt:lpstr>
      <vt:lpstr>FINAL</vt:lpstr>
      <vt:lpstr>GRADE SHEET</vt:lpstr>
      <vt:lpstr>TGQC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Alvin Dale Joyosa</cp:lastModifiedBy>
  <cp:lastPrinted>2018-05-26T07:15:39Z</cp:lastPrinted>
  <dcterms:created xsi:type="dcterms:W3CDTF">2017-06-24T03:15:07Z</dcterms:created>
  <dcterms:modified xsi:type="dcterms:W3CDTF">2025-03-12T05:17:35Z</dcterms:modified>
</cp:coreProperties>
</file>